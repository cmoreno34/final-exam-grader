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202300"/>
  <mc:AlternateContent xmlns:mc="http://schemas.openxmlformats.org/markup-compatibility/2006">
    <mc:Choice Requires="x15">
      <x15ac:absPath xmlns:x15ac="http://schemas.microsoft.com/office/spreadsheetml/2010/11/ac" url="https://universidadfv-my.sharepoint.com/personal/cesar_moreno_ufv_es/Documents/32.- SLU BTM/New folder/"/>
    </mc:Choice>
  </mc:AlternateContent>
  <xr:revisionPtr revIDLastSave="2" documentId="8_{3428E3A0-1A00-49D9-B52D-7387E1100587}" xr6:coauthVersionLast="47" xr6:coauthVersionMax="47" xr10:uidLastSave="{962AF748-64F6-434E-9D60-7206101B59DC}"/>
  <bookViews>
    <workbookView xWindow="29190" yWindow="-180" windowWidth="21600" windowHeight="11295" firstSheet="3" activeTab="6" xr2:uid="{7AC8280B-7F8B-45D1-845C-70D239A326E7}"/>
  </bookViews>
  <sheets>
    <sheet name="GRADING" sheetId="3" r:id="rId1"/>
    <sheet name="section 1 ( 1 to 9)" sheetId="1" r:id="rId2"/>
    <sheet name="section 2_DATA" sheetId="2" r:id="rId3"/>
    <sheet name="sect 2 quesion 10" sheetId="5" r:id="rId4"/>
    <sheet name="section 2_ quesitons 11 to 15" sheetId="6" r:id="rId5"/>
    <sheet name="section 3 SQL  16 A 20" sheetId="9" r:id="rId6"/>
    <sheet name="PRINT - All Questions" sheetId="10" r:id="rId7"/>
  </sheets>
  <definedNames>
    <definedName name="_xlnm.Print_Area" localSheetId="6">'PRINT - All Questions'!$A$1:$B$37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2" i="9" l="1"/>
  <c r="R67" i="9"/>
  <c r="S54" i="1" l="1"/>
  <c r="K22" i="3" l="1"/>
  <c r="K16" i="3"/>
  <c r="K7" i="3"/>
  <c r="C27" i="3"/>
  <c r="D26" i="3"/>
  <c r="D25" i="3"/>
  <c r="D16" i="3"/>
  <c r="D15" i="3"/>
  <c r="P56" i="6"/>
  <c r="P13" i="6"/>
  <c r="P195" i="6"/>
  <c r="D17" i="3"/>
  <c r="D18" i="3"/>
  <c r="Q145" i="6"/>
  <c r="Q13" i="6"/>
  <c r="L37" i="1"/>
  <c r="L38" i="1"/>
  <c r="L36" i="1"/>
  <c r="L35" i="1"/>
  <c r="D24" i="3"/>
  <c r="D23" i="3"/>
  <c r="D22" i="3"/>
  <c r="R22" i="9"/>
  <c r="R6" i="9"/>
  <c r="D21" i="3"/>
  <c r="D20" i="3"/>
  <c r="D19" i="3"/>
  <c r="D14" i="3"/>
  <c r="D13" i="3"/>
  <c r="D12" i="3"/>
  <c r="D11" i="3"/>
  <c r="D7" i="3"/>
  <c r="D8" i="3"/>
  <c r="D9" i="3"/>
  <c r="D10" i="3"/>
  <c r="D6" i="3"/>
  <c r="D27" i="3" s="1"/>
  <c r="Q103" i="6"/>
  <c r="Q56" i="6"/>
  <c r="A56" i="6"/>
  <c r="R1" i="5"/>
  <c r="S52" i="1"/>
  <c r="S48" i="1"/>
  <c r="S45" i="1"/>
  <c r="S33" i="1"/>
  <c r="S3" i="1"/>
  <c r="S4" i="1"/>
  <c r="S5" i="1"/>
  <c r="S6" i="1"/>
  <c r="S2" i="1"/>
</calcChain>
</file>

<file path=xl/sharedStrings.xml><?xml version="1.0" encoding="utf-8"?>
<sst xmlns="http://schemas.openxmlformats.org/spreadsheetml/2006/main" count="958" uniqueCount="546">
  <si>
    <t>ID</t>
  </si>
  <si>
    <t>Project Name</t>
  </si>
  <si>
    <t>End Date</t>
  </si>
  <si>
    <t>Status</t>
  </si>
  <si>
    <t>Active</t>
  </si>
  <si>
    <t>On Hold</t>
  </si>
  <si>
    <t>Germany</t>
  </si>
  <si>
    <t>Completed</t>
  </si>
  <si>
    <t>China</t>
  </si>
  <si>
    <t>Day of Week</t>
  </si>
  <si>
    <t>Tuesday</t>
  </si>
  <si>
    <t>Thursday</t>
  </si>
  <si>
    <t>Monday</t>
  </si>
  <si>
    <t>Friday</t>
  </si>
  <si>
    <t>Wednesday</t>
  </si>
  <si>
    <t>5.- calculate the duration in working days and consider the holidays given</t>
  </si>
  <si>
    <t>Country</t>
  </si>
  <si>
    <t>GRADE</t>
  </si>
  <si>
    <t>weight</t>
  </si>
  <si>
    <t>France</t>
  </si>
  <si>
    <t>Canada</t>
  </si>
  <si>
    <t>North America</t>
  </si>
  <si>
    <t>Asia</t>
  </si>
  <si>
    <t>Europe</t>
  </si>
  <si>
    <t xml:space="preserve">( DO NOT DO IT MANUALLY, NO GRADE FOR IT). </t>
  </si>
  <si>
    <t>section 1</t>
  </si>
  <si>
    <t>section 2</t>
  </si>
  <si>
    <t>section 3</t>
  </si>
  <si>
    <t>TOTAL</t>
  </si>
  <si>
    <t>question</t>
  </si>
  <si>
    <t>grade</t>
  </si>
  <si>
    <t>section weight</t>
  </si>
  <si>
    <t>Email</t>
  </si>
  <si>
    <t>Duration</t>
  </si>
  <si>
    <t>Genre</t>
  </si>
  <si>
    <t>1.- Extract the project name. Make sure there are no spaces or extra codes.</t>
  </si>
  <si>
    <t>3. change the format of the end date</t>
  </si>
  <si>
    <t>Working days</t>
  </si>
  <si>
    <t>Japan</t>
  </si>
  <si>
    <t>Australia</t>
  </si>
  <si>
    <t>Continent</t>
  </si>
  <si>
    <t>FINAL EXAM</t>
  </si>
  <si>
    <t>16.- count the number of genres in table 2</t>
  </si>
  <si>
    <t>17.- Inner join table 1 and 2 , and give the ID, Status, Sales and Genre given the condition that the sales where bigger than 520000. Name Table 1 as p1 and Table 2 as p2</t>
  </si>
  <si>
    <t>answer here: copy paste the query ant the resulting table</t>
  </si>
  <si>
    <t>upload table 1, 2 and 3 in https://sqliteonline.com/</t>
  </si>
  <si>
    <t>2,. Extract the mail. No spaces or extra codes. Lowercase</t>
  </si>
  <si>
    <t>4.- calculate de total duration</t>
  </si>
  <si>
    <t>8.- highlight in the table above the whole row and column with a different color</t>
  </si>
  <si>
    <t>18.- inner join now the previous with table 3 ( name it p3). Display a table with project name, status sales genre and country where the sales are bigger than 520000 and the country is UK</t>
  </si>
  <si>
    <t>Start Date</t>
  </si>
  <si>
    <t>Category</t>
  </si>
  <si>
    <t>Modules Count</t>
  </si>
  <si>
    <t>Revenue (USD)</t>
  </si>
  <si>
    <t>SW_0001@  AppBuilder</t>
  </si>
  <si>
    <t>AppBuilder</t>
  </si>
  <si>
    <t>sw_0001@ appbuilder.com</t>
  </si>
  <si>
    <t>Mobile</t>
  </si>
  <si>
    <t>SW_0002﻿@WebFramework</t>
  </si>
  <si>
    <t>Web</t>
  </si>
  <si>
    <t>SW_0003@GameEngine‌</t>
  </si>
  <si>
    <t>Game</t>
  </si>
  <si>
    <t>SW_0004 @Data​Analyzer</t>
  </si>
  <si>
    <t>Data</t>
  </si>
  <si>
    <t>SW_0005@ CloudService‍</t>
  </si>
  <si>
    <t>Cloud</t>
  </si>
  <si>
    <t>SW_0006@​SecuritySuite</t>
  </si>
  <si>
    <t>Security</t>
  </si>
  <si>
    <t>SW_0007@MobileApp​</t>
  </si>
  <si>
    <t>SW_0008@E-commerce‌</t>
  </si>
  <si>
    <t>SW_0009@   VR​Framework</t>
  </si>
  <si>
    <t>SW_00​10@AnalyticsPlatform</t>
  </si>
  <si>
    <t>SW_00‍11@ServerlessAPI</t>
  </si>
  <si>
    <t>SW_0012@Identity‍Management</t>
  </si>
  <si>
    <t>SW_0013@MobileSDK﻿</t>
  </si>
  <si>
    <t>SW_001‌4@ContentManagement</t>
  </si>
  <si>
    <t>​SW_0015@ARExperience</t>
  </si>
  <si>
    <t>SW_0016@B﻿igDataPipeline</t>
  </si>
  <si>
    <t>﻿SW_0017@MicroservicesArch</t>
  </si>
  <si>
    <t>SW_0018‌@CyberSecurity</t>
  </si>
  <si>
    <t>SW_0019@MobileWallet‌</t>
  </si>
  <si>
    <t>SW‌_0020@SearchEngine</t>
  </si>
  <si>
    <t>SW_002‌1@GameAI</t>
  </si>
  <si>
    <t>SW_002‌2@DataVisualization</t>
  </si>
  <si>
    <t>S​W_0023@Kubernetes</t>
  </si>
  <si>
    <t>SW_0024‍@EndpointProtection</t>
  </si>
  <si>
    <t>SW_0025@AppStore﻿</t>
  </si>
  <si>
    <t>SW_00‍26@WebsiteBuilder</t>
  </si>
  <si>
    <t>SW_0027@GameServer​</t>
  </si>
  <si>
    <t>SW_0028@DataWarehouse​</t>
  </si>
  <si>
    <t>SW_0029@‌CloudStorage</t>
  </si>
  <si>
    <t>SW_0030@Aut‌hentication</t>
  </si>
  <si>
    <t>SW_0031@AppOpt‍imizer</t>
  </si>
  <si>
    <t>SW_‌0032@WebAPI</t>
  </si>
  <si>
    <t>SW_​0033@GameAssets</t>
  </si>
  <si>
    <t>SW_0034﻿@DataMining</t>
  </si>
  <si>
    <t>SW_0035@Cl﻿oudDeployment</t>
  </si>
  <si>
    <t>‍SW_0036@ThreatDetection</t>
  </si>
  <si>
    <t>SW_0037@﻿MobilePayment</t>
  </si>
  <si>
    <t>SW_0038@WebHosting‍</t>
  </si>
  <si>
    <t>SW_‍0039@GamePhysics</t>
  </si>
  <si>
    <t>SW_0040@Da​taClassification</t>
  </si>
  <si>
    <t>SW_0041@CloudIn‌frastructure</t>
  </si>
  <si>
    <t>SW_0042@DDoSProt﻿ection</t>
  </si>
  <si>
    <t>SW_0043@PushNot﻿ifications</t>
  </si>
  <si>
    <t>SW_0044@WebPerfo‍rmance</t>
  </si>
  <si>
    <t>SW_0045@GameSound</t>
  </si>
  <si>
    <t>SW_0046@DataPred﻿iction</t>
  </si>
  <si>
    <t>SW_0047@C‍loudMonitoring</t>
  </si>
  <si>
    <t>SW_0048@SecurityAud​it</t>
  </si>
  <si>
    <t>SW_0049@AppPerformanc​e</t>
  </si>
  <si>
    <t>SW_0﻿050@FrontendFramework</t>
  </si>
  <si>
    <t>SW_0051@3DRend​ering</t>
  </si>
  <si>
    <t>SW_0052@‍MachineLearning</t>
  </si>
  <si>
    <t>SW_0053@Containe‌rization</t>
  </si>
  <si>
    <t>SW_‍0054@VulnerabilityScanner</t>
  </si>
  <si>
    <t>SW_0055@Hybrid​App</t>
  </si>
  <si>
    <t>Holidays List:</t>
  </si>
  <si>
    <t>Date</t>
  </si>
  <si>
    <t>Sunday</t>
  </si>
  <si>
    <t>6.-  Complete the table. Sum of number of Modules</t>
  </si>
  <si>
    <t>7.- Introduce 2 drop-down lists (data validation lists) to choose:Category (only Mobile and Web) Status (only Active and Completed)</t>
  </si>
  <si>
    <t>9.- Find the Category with the highest revenues in 2023 (start date) (with formulation, don't use tables).</t>
  </si>
  <si>
    <t>ProductID</t>
  </si>
  <si>
    <t>ProductName</t>
  </si>
  <si>
    <t>UnitPrice</t>
  </si>
  <si>
    <t>Stock</t>
  </si>
  <si>
    <t>P001</t>
  </si>
  <si>
    <t>Laptop Pro</t>
  </si>
  <si>
    <t>Electronics</t>
  </si>
  <si>
    <t>P002</t>
  </si>
  <si>
    <t>Office Chair</t>
  </si>
  <si>
    <t>Furniture</t>
  </si>
  <si>
    <t>P003</t>
  </si>
  <si>
    <t>Wireless Headphones</t>
  </si>
  <si>
    <t>P004</t>
  </si>
  <si>
    <t>Desk Lamp</t>
  </si>
  <si>
    <t>Home Goods</t>
  </si>
  <si>
    <t>P005</t>
  </si>
  <si>
    <t>Coffee Maker</t>
  </si>
  <si>
    <t>Kitchen</t>
  </si>
  <si>
    <t>P006</t>
  </si>
  <si>
    <t>Bluetooth Speaker</t>
  </si>
  <si>
    <t>P007</t>
  </si>
  <si>
    <t>Ergonomic Desk</t>
  </si>
  <si>
    <t>P008</t>
  </si>
  <si>
    <t>External Hard Drive</t>
  </si>
  <si>
    <t>P009</t>
  </si>
  <si>
    <t>Cutlery Set</t>
  </si>
  <si>
    <t>P010</t>
  </si>
  <si>
    <t>Smart Watch</t>
  </si>
  <si>
    <t>P011</t>
  </si>
  <si>
    <t>Dining Table</t>
  </si>
  <si>
    <t>P012</t>
  </si>
  <si>
    <t>Blender</t>
  </si>
  <si>
    <t>Discontinued</t>
  </si>
  <si>
    <t>P013</t>
  </si>
  <si>
    <t>Monitor</t>
  </si>
  <si>
    <t>P014</t>
  </si>
  <si>
    <t>Standing Desk</t>
  </si>
  <si>
    <t>P015</t>
  </si>
  <si>
    <t>Smart Thermostat</t>
  </si>
  <si>
    <t>OrderID</t>
  </si>
  <si>
    <t>Quantity</t>
  </si>
  <si>
    <t>OrderDate</t>
  </si>
  <si>
    <t>ShipmentDate</t>
  </si>
  <si>
    <t>SalePrice</t>
  </si>
  <si>
    <t>ORD001</t>
  </si>
  <si>
    <t>1/15/2024</t>
  </si>
  <si>
    <t>1/18/2024</t>
  </si>
  <si>
    <t>ORD002</t>
  </si>
  <si>
    <t>1/16/2024</t>
  </si>
  <si>
    <t>1/19/2024</t>
  </si>
  <si>
    <t>ORD003</t>
  </si>
  <si>
    <t>1/17/2024</t>
  </si>
  <si>
    <t>1/20/2024</t>
  </si>
  <si>
    <t>ORD004</t>
  </si>
  <si>
    <t>1/21/2024</t>
  </si>
  <si>
    <t>ORD005</t>
  </si>
  <si>
    <t>1/22/2024</t>
  </si>
  <si>
    <t>ORD006</t>
  </si>
  <si>
    <t>1/23/2024</t>
  </si>
  <si>
    <t>ORD007</t>
  </si>
  <si>
    <t>1/24/2024</t>
  </si>
  <si>
    <t>ORD008</t>
  </si>
  <si>
    <t>1/25/2024</t>
  </si>
  <si>
    <t>ORD009</t>
  </si>
  <si>
    <t>1/26/2024</t>
  </si>
  <si>
    <t>ORD010</t>
  </si>
  <si>
    <t>1/27/2024</t>
  </si>
  <si>
    <t>ORD011</t>
  </si>
  <si>
    <t>2/1/2024</t>
  </si>
  <si>
    <t>2/4/2024</t>
  </si>
  <si>
    <t>ORD012</t>
  </si>
  <si>
    <t>2/2/2024</t>
  </si>
  <si>
    <t>2/5/2024</t>
  </si>
  <si>
    <t>ORD013</t>
  </si>
  <si>
    <t>2/3/2024</t>
  </si>
  <si>
    <t>2/6/2024</t>
  </si>
  <si>
    <t>ORD014</t>
  </si>
  <si>
    <t>2/7/2024</t>
  </si>
  <si>
    <t>ORD015</t>
  </si>
  <si>
    <t>2/8/2024</t>
  </si>
  <si>
    <t>ORD016</t>
  </si>
  <si>
    <t>3/1/2024</t>
  </si>
  <si>
    <t>3/4/2024</t>
  </si>
  <si>
    <t>ORD017</t>
  </si>
  <si>
    <t>3/2/2024</t>
  </si>
  <si>
    <t>3/5/2024</t>
  </si>
  <si>
    <t>ORD018</t>
  </si>
  <si>
    <t>3/3/2024</t>
  </si>
  <si>
    <t>3/6/2024</t>
  </si>
  <si>
    <t>ORD019</t>
  </si>
  <si>
    <t>3/7/2024</t>
  </si>
  <si>
    <t>ORD020</t>
  </si>
  <si>
    <t>3/8/2024</t>
  </si>
  <si>
    <t>CustomerID</t>
  </si>
  <si>
    <t>FullName</t>
  </si>
  <si>
    <t>Region</t>
  </si>
  <si>
    <t>CustomerType</t>
  </si>
  <si>
    <t>C001</t>
  </si>
  <si>
    <t>John Smith</t>
  </si>
  <si>
    <t>john.smith@email.com</t>
  </si>
  <si>
    <t>United States</t>
  </si>
  <si>
    <t>North</t>
  </si>
  <si>
    <t>Regular</t>
  </si>
  <si>
    <t>C002</t>
  </si>
  <si>
    <t>Emma Johnson</t>
  </si>
  <si>
    <t>emma.j@email.com</t>
  </si>
  <si>
    <t>East</t>
  </si>
  <si>
    <t>Premium</t>
  </si>
  <si>
    <t>C003</t>
  </si>
  <si>
    <t>Michael Brown</t>
  </si>
  <si>
    <t>mbrown@email.com</t>
  </si>
  <si>
    <t>United Kingdom</t>
  </si>
  <si>
    <t>Central</t>
  </si>
  <si>
    <t>C004</t>
  </si>
  <si>
    <t>Sophia Garcia</t>
  </si>
  <si>
    <t>sgarcia@email.com</t>
  </si>
  <si>
    <t>Mexico</t>
  </si>
  <si>
    <t>South</t>
  </si>
  <si>
    <t>C005</t>
  </si>
  <si>
    <t>Daniel Wilson</t>
  </si>
  <si>
    <t>danielw@email.com</t>
  </si>
  <si>
    <t>West</t>
  </si>
  <si>
    <t>C006</t>
  </si>
  <si>
    <t>Olivia Martinez</t>
  </si>
  <si>
    <t>oliviam@email.com</t>
  </si>
  <si>
    <t>C007</t>
  </si>
  <si>
    <t>James Anderson</t>
  </si>
  <si>
    <t>janderson@email.com</t>
  </si>
  <si>
    <t>C008</t>
  </si>
  <si>
    <t>Isabella Thomas</t>
  </si>
  <si>
    <t>isabellatom@email.com</t>
  </si>
  <si>
    <t>C009</t>
  </si>
  <si>
    <t>William Taylor</t>
  </si>
  <si>
    <t>wtaylor@email.com</t>
  </si>
  <si>
    <t>C010</t>
  </si>
  <si>
    <t>Charlotte Lee</t>
  </si>
  <si>
    <t>charlee@email.com</t>
  </si>
  <si>
    <t>PaymentMethod</t>
  </si>
  <si>
    <t>TotalAmount</t>
  </si>
  <si>
    <t>Discount</t>
  </si>
  <si>
    <t>FinalAmount</t>
  </si>
  <si>
    <t>Credit Card</t>
  </si>
  <si>
    <t>PayPal</t>
  </si>
  <si>
    <t>Debit Card</t>
  </si>
  <si>
    <t>Bank Transfer</t>
  </si>
  <si>
    <t>SupplierID</t>
  </si>
  <si>
    <t>SupplierName</t>
  </si>
  <si>
    <t>City</t>
  </si>
  <si>
    <t>LeadTime</t>
  </si>
  <si>
    <t>SUP001</t>
  </si>
  <si>
    <t>TechGlobal</t>
  </si>
  <si>
    <t>Tokyo</t>
  </si>
  <si>
    <t>SUP002</t>
  </si>
  <si>
    <t>FurniturePlus</t>
  </si>
  <si>
    <t>Milan</t>
  </si>
  <si>
    <t>Italy</t>
  </si>
  <si>
    <t>SUP003</t>
  </si>
  <si>
    <t>SoundMasters</t>
  </si>
  <si>
    <t>Seoul</t>
  </si>
  <si>
    <t>South Korea</t>
  </si>
  <si>
    <t>SUP004</t>
  </si>
  <si>
    <t>HomeEssentials</t>
  </si>
  <si>
    <t>Barcelona</t>
  </si>
  <si>
    <t>Spain</t>
  </si>
  <si>
    <t>SUP005</t>
  </si>
  <si>
    <t>KitchenPro</t>
  </si>
  <si>
    <t>Chicago</t>
  </si>
  <si>
    <t>SUP006</t>
  </si>
  <si>
    <t>AudioTech</t>
  </si>
  <si>
    <t>Berlin</t>
  </si>
  <si>
    <t>SUP007</t>
  </si>
  <si>
    <t>ErgonomicsInc</t>
  </si>
  <si>
    <t>Stockholm</t>
  </si>
  <si>
    <t>Sweden</t>
  </si>
  <si>
    <t>SUP008</t>
  </si>
  <si>
    <t>DataStorage</t>
  </si>
  <si>
    <t>Taipei</t>
  </si>
  <si>
    <t>Taiwan</t>
  </si>
  <si>
    <t>SUP009</t>
  </si>
  <si>
    <t>CulinaryWorks</t>
  </si>
  <si>
    <t>Paris</t>
  </si>
  <si>
    <t>SUP010</t>
  </si>
  <si>
    <t>SmartWear</t>
  </si>
  <si>
    <t>San Francisco</t>
  </si>
  <si>
    <t>SUP011</t>
  </si>
  <si>
    <t>DiningDecor</t>
  </si>
  <si>
    <t>Toronto</t>
  </si>
  <si>
    <t>SUP012</t>
  </si>
  <si>
    <t>KitchenAppliances</t>
  </si>
  <si>
    <t>Melbourne</t>
  </si>
  <si>
    <t>Oceania</t>
  </si>
  <si>
    <t>SUP013</t>
  </si>
  <si>
    <t>DisplayTech</t>
  </si>
  <si>
    <t>Shenzhen</t>
  </si>
  <si>
    <t>SUP014</t>
  </si>
  <si>
    <t>OfficeSuppliers</t>
  </si>
  <si>
    <t>London</t>
  </si>
  <si>
    <t>SUP015</t>
  </si>
  <si>
    <t>SmartHome</t>
  </si>
  <si>
    <t>Helsinki</t>
  </si>
  <si>
    <t>Finland</t>
  </si>
  <si>
    <t>ShipmentID</t>
  </si>
  <si>
    <t>DispatchDate</t>
  </si>
  <si>
    <t>EstimatedDelivery</t>
  </si>
  <si>
    <t>ActualDelivery</t>
  </si>
  <si>
    <t>ShippingCarrier</t>
  </si>
  <si>
    <t>SHP001</t>
  </si>
  <si>
    <t>FedEx</t>
  </si>
  <si>
    <t>SHP002</t>
  </si>
  <si>
    <t>UPS</t>
  </si>
  <si>
    <t>SHP003</t>
  </si>
  <si>
    <t>1/28/2024</t>
  </si>
  <si>
    <t>DHL</t>
  </si>
  <si>
    <t>SHP004</t>
  </si>
  <si>
    <t>SHP005</t>
  </si>
  <si>
    <t>1/29/2024</t>
  </si>
  <si>
    <t>1/30/2024</t>
  </si>
  <si>
    <t>SHP006</t>
  </si>
  <si>
    <t>SHP007</t>
  </si>
  <si>
    <t>1/31/2024</t>
  </si>
  <si>
    <t>SHP008</t>
  </si>
  <si>
    <t>SHP009</t>
  </si>
  <si>
    <t>SHP010</t>
  </si>
  <si>
    <t>SHP011</t>
  </si>
  <si>
    <t>2/11/2024</t>
  </si>
  <si>
    <t>2/10/2024</t>
  </si>
  <si>
    <t>SHP012</t>
  </si>
  <si>
    <t>2/12/2024</t>
  </si>
  <si>
    <t>2/13/2024</t>
  </si>
  <si>
    <t>SHP013</t>
  </si>
  <si>
    <t>SHP014</t>
  </si>
  <si>
    <t>2/14/2024</t>
  </si>
  <si>
    <t>2/15/2024</t>
  </si>
  <si>
    <t>SHP015</t>
  </si>
  <si>
    <t>SHP016</t>
  </si>
  <si>
    <t>3/11/2024</t>
  </si>
  <si>
    <t>3/12/2024</t>
  </si>
  <si>
    <t>SHP017</t>
  </si>
  <si>
    <t>SHP018</t>
  </si>
  <si>
    <t>3/13/2024</t>
  </si>
  <si>
    <t>3/14/2024</t>
  </si>
  <si>
    <t>SHP019</t>
  </si>
  <si>
    <t>SHP020</t>
  </si>
  <si>
    <t>3/15/2024</t>
  </si>
  <si>
    <t>3/16/2024</t>
  </si>
  <si>
    <t>CustomerName</t>
  </si>
  <si>
    <t>CustomerCountry</t>
  </si>
  <si>
    <t>SupplierCountry</t>
  </si>
  <si>
    <t>1. Create a PivotTable from your Data Model</t>
  </si>
  <si>
    <t>1.1. Add fields:</t>
  </si>
  <si>
    <t>2. Create a line chart from this PivotTable</t>
  </si>
  <si>
    <t>do it here please</t>
  </si>
  <si>
    <t xml:space="preserve">do it here please </t>
  </si>
  <si>
    <t>1. Create a PivotTable with:</t>
  </si>
  <si>
    <t>VALUES: TotalAmount (Sum)</t>
  </si>
  <si>
    <t>2. Create a bar chart from this PivotTable</t>
  </si>
  <si>
    <t>3. Add slicers for:</t>
  </si>
  <si>
    <t>2. Set up the data:</t>
  </si>
  <si>
    <t>Values: Sum of FinalAmount</t>
  </si>
  <si>
    <t>ROWS: ProductName</t>
  </si>
  <si>
    <t>VALUES:</t>
  </si>
  <si>
    <t>15.- Combination Chart with Primary and Secondary Axes</t>
  </si>
  <si>
    <t>ROWS: Category</t>
  </si>
  <si>
    <t>please do it here</t>
  </si>
  <si>
    <t>END OF THE SECTION</t>
  </si>
  <si>
    <t>Use consistent formatting and color schemes across all charts</t>
  </si>
  <si>
    <t>Add appropriate titles and axis labels to all charts</t>
  </si>
  <si>
    <t>Include data labels where they add value without cluttering</t>
  </si>
  <si>
    <t>Ensure all charts are connected to the Data Model, not to direct cell ranges</t>
  </si>
  <si>
    <t>Requirements for All Visualizations</t>
  </si>
  <si>
    <t>Include a text box with key insights</t>
  </si>
  <si>
    <t>Include a text box with key insights from each visualization ( a few words with the moan idea)</t>
  </si>
  <si>
    <t>Table 7</t>
  </si>
  <si>
    <t>Table 6</t>
  </si>
  <si>
    <t>Table 5</t>
  </si>
  <si>
    <t>Table 4</t>
  </si>
  <si>
    <t>Table 3</t>
  </si>
  <si>
    <t>Table 1</t>
  </si>
  <si>
    <t>Table 2</t>
  </si>
  <si>
    <t>THERE ARE 7 TABLES¡¡¡¡¡</t>
  </si>
  <si>
    <t>I HIGHLY RECOMMEND TO NAME THE TABLES AND FOLLOW THE ORDER GIVEN</t>
  </si>
  <si>
    <t>( CREATE THE DELIVERY YEAR BASED ON THIS TABLE)</t>
  </si>
  <si>
    <t>FOLLOW NEXT PAGE INSTRUCTIONS</t>
  </si>
  <si>
    <t>STEPS</t>
  </si>
  <si>
    <t>_FOLLOW THE STEPS GIVEN TO GET THE RESULT</t>
  </si>
  <si>
    <t>_MAINTAIN COHERENT COLUMN NAMES</t>
  </si>
  <si>
    <t>_MATCH THE CORRECT COLUMNS PLEASE</t>
  </si>
  <si>
    <t>_ DO EVERYTHING WITH POWER QUERY</t>
  </si>
  <si>
    <t>merge table 1 and 2 = merge 1</t>
  </si>
  <si>
    <t>merge merge1 with table 3= merge 2</t>
  </si>
  <si>
    <t>merge merge 2 with table 4= merge 3</t>
  </si>
  <si>
    <t>merge merge 3  with table 5= merge 4</t>
  </si>
  <si>
    <t>append table6 and 7= Append 1</t>
  </si>
  <si>
    <t>merge merge4 and appen1=merge5( solution)</t>
  </si>
  <si>
    <t>SCROLL UNITL THE END</t>
  </si>
  <si>
    <t>if you have any problem with the date format, selct the column right-click/change type/ use locale/Date and usa</t>
  </si>
  <si>
    <t>RECOMMENDATIONS</t>
  </si>
  <si>
    <t>scroll down until question 15</t>
  </si>
  <si>
    <t>VALUES: Quantity (Sum)</t>
  </si>
  <si>
    <t>(hint: you can add these fields to the pivot but dont display them)</t>
  </si>
  <si>
    <t>1.- Extract the Project Name from column A. Remove any spaces, hidden characters or extra codes. Place the result in column B (already started in B2).</t>
  </si>
  <si>
    <t>2.- Extract the Email from column A. No spaces or extra codes. Output must be lowercase. Place result in column C (already started in C2).</t>
  </si>
  <si>
    <t>3.- Change the format of the End Date column (column E) to a clean date format (m/d/yyyy).</t>
  </si>
  <si>
    <t>4.- Calculate the total Duration (in days) between Start Date and End Date. Place result in column F (already started in F2).</t>
  </si>
  <si>
    <t>5.- Calculate the Duration in WORKING DAYS between Start Date and End Date, excluding the holidays in M10:M29. Place result in column G (already started in G2).</t>
  </si>
  <si>
    <t>6.- Complete the small summary table below: total number of Modules per Category. Use a formula (SUMIF / SUMIFS), not manual values.</t>
  </si>
  <si>
    <t>7.- Add 2 drop-down lists (Data Validation &gt; List): one for Category restricted to {Mobile, Web}, and one for Status restricted to {Active, Completed}.</t>
  </si>
  <si>
    <t>8.- In the main table (A1:K56), apply Conditional Formatting that highlights the ENTIRE ROW and ENTIRE COLUMN of the active cell with a different color (cross-hair highlight).</t>
  </si>
  <si>
    <t>9.- Find the Category with the HIGHEST total Revenue among projects whose Start Date is in 2023. Use formulas only (no PivotTable, no Excel Tables).</t>
  </si>
  <si>
    <t>9b.- Using the LET function, compute the AVERAGE Revenue per Category for projects whose Start Date is in 2023, and return the Category with the highest average. Your formula MUST use LET to name intermediate variables (e.g., years, categories, avgs) and a single final expression. No helper cells.</t>
  </si>
  <si>
    <t>10.- Using POWER QUERY ONLY, connect Tables 1 to 7 from sheet 'section 2_DATA' into a single consolidated table. Add this final table to the Data Model. Print the FINAL result in a NEW SHEET (you will use it for Section 2 questions 11-15). Make sure the field names match the headers listed below exactly.</t>
  </si>
  <si>
    <t>Append the two split shipping tables (Table 6 + Table 7) using Power Query</t>
  </si>
  <si>
    <t>Create a 'DeliveryYear' calculated column (extract YEAR from ActualDelivery)</t>
  </si>
  <si>
    <t>Merge all tables using consistent key columns (ProductID, OrderID, CustomerID, ShipmentID, SupplierID via ProductID)</t>
  </si>
  <si>
    <t>The final result must contain EXACTLY the 23 fields listed in row 18 below</t>
  </si>
  <si>
    <t>PRINT the final result in a NEW SHEET (this is the source for questions 11-15)</t>
  </si>
  <si>
    <t>ROWS: OrderDate (grouped by MONTH)</t>
  </si>
  <si>
    <t>2.2.- Display the R-squared value on the chart. Set 'Forecast forward' = 3 periods. Report the value of the trendline at the 3rd forecast period.</t>
  </si>
  <si>
    <t>Build a column chart of TotalAmount by ProductCategory from the DATA MODEL, with 3 connected slicers.</t>
  </si>
  <si>
    <t>ROWS: Category (from Table 1, via the merged table)</t>
  </si>
  <si>
    <t>4. Format slicers vertically and CONNECT all three slicers to the PivotTable.</t>
  </si>
  <si>
    <t>16.- Count the number of DISTINCT genres in Table 2 (p2). Return a single number with column alias 'genre_count'.</t>
  </si>
  <si>
    <t>17.- INNER JOIN Table 1 (alias p1) and Table 2 (alias p2). Return ID, Status, Sales, Genre WHERE Sales &gt; 520000.</t>
  </si>
  <si>
    <t>18.- INNER JOIN the previous result with Table 3 (alias p3). Return Project Name, Status, Sales, Genre, Country WHERE Sales &gt; 520000 AND Country = 'UK'.</t>
  </si>
  <si>
    <t>answer here: copy paste the query and the resulting table</t>
  </si>
  <si>
    <t>9b</t>
  </si>
  <si>
    <t>9b.- Using LET, return the Category with the highest AVERAGE Revenue among 2023 projects.</t>
  </si>
  <si>
    <t>10.- POWER QUERY: connect Tables 1-7 into a single Data Model table with 23 fields</t>
  </si>
  <si>
    <t>13.- Geographic Map Visualization (with shared slicers)</t>
  </si>
  <si>
    <t>Create a Map chart showing sales by country using the Data Model. The slicers below will also drive Q14 (bubble chart) - both visuals must update simultaneously.</t>
  </si>
  <si>
    <t>1. Insert a Map chart sourced from a PivotTable on the Data Model</t>
  </si>
  <si>
    <t>Locations: CustomerCountry (or SupplierCountry)</t>
  </si>
  <si>
    <t>3. Format the map: appropriate color scale, data labels (country + value), legend visible</t>
  </si>
  <si>
    <t>5. CONNECT both slicers to the Map PivotTable AND to the Bubble PivotTable in Q14 (Slicer &gt; Report Connections &gt; tick both pivots) so a single click filters BOTH visuals simultaneously</t>
  </si>
  <si>
    <t>6. Add a text box with 1-2 key insights (top country, effect of filtering by year)</t>
  </si>
  <si>
    <t>14.- Bubble Chart for Multi-dimensional Analysis (with shared slicers)</t>
  </si>
  <si>
    <t>Create a bubble chart visualizing 3 dimensions, driven by the SAME slicers as Q13. Filtering one slicer must update Q13 (Map) and Q14 (Bubble) at the same time.</t>
  </si>
  <si>
    <t>1. Create a PivotTable from the Data Model with:</t>
  </si>
  <si>
    <t>Quantity (Sum) - X-axis</t>
  </si>
  <si>
    <t>UnitPrice (Average) - Y-axis</t>
  </si>
  <si>
    <t>TotalAmount (Sum) - bubble size</t>
  </si>
  <si>
    <t>2. Insert a Bubble chart from this PivotTable</t>
  </si>
  <si>
    <t>3. Format: clear X/Y axis labels, data labels on key bubbles, descriptive title</t>
  </si>
  <si>
    <t>5. Verify: clicking a slicer value updates BOTH the Map (Q13) and the Bubble chart (Q14) simultaneously</t>
  </si>
  <si>
    <t>6. Add a text box with 1-2 key insights</t>
  </si>
  <si>
    <t>Build a COMBINATION CHART (columns + line on a secondary axis) from the Data Model that shows VOLUME and VALUE side-by-side per Category, so the user can see whether high-quantity categories also generate high revenue.</t>
  </si>
  <si>
    <t xml:space="preserve">   Quantity (Sum) will be plotted as COLUMNS on the PRIMARY (left) axis</t>
  </si>
  <si>
    <t xml:space="preserve">   FinalAmount (Sum) will be plotted as a LINE on the SECONDARY (right) axis</t>
  </si>
  <si>
    <t>2. Insert a Combo chart (Insert &gt; Charts &gt; Combo &gt; 'Custom Combination'):</t>
  </si>
  <si>
    <t xml:space="preserve">   Set Quantity series to 'Clustered Column' (no secondary axis)</t>
  </si>
  <si>
    <t xml:space="preserve">   Set FinalAmount series to 'Line' and TICK the 'Secondary Axis' checkbox</t>
  </si>
  <si>
    <t>3. Formatting requirements:</t>
  </si>
  <si>
    <t xml:space="preserve">   Chart title (e.g. 'Volume vs Value by Category')</t>
  </si>
  <si>
    <t xml:space="preserve">   PRIMARY axis title: 'Quantity (units)'  |  SECONDARY axis title: 'Final Amount (USD)'</t>
  </si>
  <si>
    <t xml:space="preserve">   Different colors for the two series and a legend at the bottom</t>
  </si>
  <si>
    <t xml:space="preserve">   Data labels on the LINE series only (so columns stay clean)</t>
  </si>
  <si>
    <t xml:space="preserve">   Format the secondary axis as currency ($#,##0)</t>
  </si>
  <si>
    <t>4. Add a text box with 1-2 key insights: which Category has the highest VOLUME, which has the highest VALUE, and whether they are the same.</t>
  </si>
  <si>
    <t>19.- INNER JOIN all THREE tables (p1, p2, p3 in a single query). Return Project Name, Status, Sales, Genre and Country WHERE Sales &gt; 600000 AND Status = 'Active'. Order results by Sales DESC.</t>
  </si>
  <si>
    <t>20.- Compare LEFT JOIN vs RIGHT JOIN (vs FULL OUTER JOIN if your SQL engine supports it) between p1 and p2 on the ID column. Write THREE separate queries (one LEFT, one RIGHT, one FULL) returning ID, Project Name and Genre. Then in 1-2 sentences below the queries, explain WHY the row counts differ (which rows appear in one but not the other, and what NULLs mean in each result).</t>
  </si>
  <si>
    <t>answer here: paste the 3 queries, the 3 resulting tables, and your short explanation</t>
  </si>
  <si>
    <t>19.- SQL: INNER JOIN p1+p2+p3, return Project/Status/Sales/Genre/Country WHERE Sales&gt;600K AND Status='Active'</t>
  </si>
  <si>
    <t>20.- SQL: Compare LEFT vs RIGHT vs FULL JOIN on p1/p2 + short explanation of why row counts differ</t>
  </si>
  <si>
    <t xml:space="preserve"> </t>
  </si>
  <si>
    <t>11.- Time Series Analysis with Linear Trend Projection</t>
  </si>
  <si>
    <t>Build a time-based PivotTable + line chart from the DATA MODEL showing monthly Quantity sold, with a LINEAR trendline.</t>
  </si>
  <si>
    <t>2.1. Add a LINEAR trendline:</t>
  </si>
  <si>
    <t>4. Insert TWO slicers: Category and PaymentMethod</t>
  </si>
  <si>
    <t>4. CONNECT the SAME 2 slicers from Q13 (Category, PaymentMethod) to this PivotTable as well via Report Connections</t>
  </si>
  <si>
    <t>11.- Time Series Analysis with Linear Trend Projection (3-period forecast)</t>
  </si>
  <si>
    <t>12.- POWER PIVOT: Column Chart of TotalAmount by Category with 3 slicers (CustomerCountry, ShippingCarrier, PaymentMethod)</t>
  </si>
  <si>
    <t>13.- Geographic Map + 2 shared slicers (Category, PaymentMethod) connected to Q14 too</t>
  </si>
  <si>
    <t>14.- Bubble Chart driven by the SAME slicers as Q13 (Category, PaymentMethod) - both visuals filter together</t>
  </si>
  <si>
    <t>FINAL EXAM - ALL QUESTIONS</t>
  </si>
  <si>
    <t>Print-friendly version. Source-of-truth answers go in the original sheets.</t>
  </si>
  <si>
    <t>SECTION 1 - Excel Basics &amp; Formulas (Sheet: 'section 1 ( 1 to 9)')  -  Weight 25%</t>
  </si>
  <si>
    <t>Q1 (2%)</t>
  </si>
  <si>
    <t>Extract the Project Name from column A. Remove any spaces, hidden characters or extra codes. Place the result in column B (already started in B2).</t>
  </si>
  <si>
    <t>Q2 (2%)</t>
  </si>
  <si>
    <t>Extract the Email from column A. No spaces or extra codes. Output must be lowercase. Place result in column C (already started in C2).</t>
  </si>
  <si>
    <t>Q3 (2%)</t>
  </si>
  <si>
    <t>Change the format of the End Date column (column E) to a clean date format (m/d/yyyy).</t>
  </si>
  <si>
    <t>Q4 (2%)</t>
  </si>
  <si>
    <t>Calculate the total Duration (in days) between Start Date and End Date. Place result in column F (already started in F2).</t>
  </si>
  <si>
    <t>Q5 (2%)</t>
  </si>
  <si>
    <t>Calculate the Duration in WORKING DAYS between Start Date and End Date, excluding the holidays in M10:M29. Place result in column G (already started in G2).</t>
  </si>
  <si>
    <t>Q6 (2%)</t>
  </si>
  <si>
    <t>Complete the small summary table below: total number of Modules per Category. Use a formula (SUMIF / SUMIFS), not manual values.</t>
  </si>
  <si>
    <t>Q7 (2%)</t>
  </si>
  <si>
    <t>Add 2 drop-down lists (Data Validation &gt; List): one for Category restricted to {Mobile, Web}, and one for Status restricted to {Active, Completed}.</t>
  </si>
  <si>
    <t>Q8 (4%)</t>
  </si>
  <si>
    <t>In the main table (A1:K56), apply Conditional Formatting that highlights the ENTIRE ROW and ENTIRE COLUMN of the active cell with a different color (cross-hair highlight).</t>
  </si>
  <si>
    <t>Q9 (4%)</t>
  </si>
  <si>
    <t>Find the Category with the HIGHEST total Revenue among projects whose Start Date is in 2023. Use formulas only (no PivotTable, no Excel Tables).</t>
  </si>
  <si>
    <t>Q9b (3%)</t>
  </si>
  <si>
    <t>Using the LET function, compute the AVERAGE Revenue per Category for projects whose Start Date is in 2023, and return the Category with the highest average. Your formula MUST use LET to name intermediate variables (e.g., years, categories, avgs) and a single final expression. No helper cells.</t>
  </si>
  <si>
    <t>SECTION 2 - Power Query, Power Pivot &amp; Visualizations  -  Weight 60%</t>
  </si>
  <si>
    <t>Data source: sheet 'section 2_DATA' (Tables 1-7). Final consolidated table from Q10 is the input for Q11-15.</t>
  </si>
  <si>
    <t>Q10 (10%) - Sheet 'sect 2 quesion 10'</t>
  </si>
  <si>
    <t>Using POWER QUERY ONLY, connect Tables 1-7 from 'section 2_DATA' into a single consolidated table. Add the result to the Data Model and PRINT it in a NEW SHEET (used as input for Q11-15).
Steps:
  - Append the two split shipping tables (Table 6 + Table 7)
  - Create a 'DeliveryYear' calculated column (YEAR of ActualDelivery)
  - Merge all tables using consistent keys (ProductID, OrderID, CustomerID, ShipmentID, SupplierID via ProductID)
  - Final result must contain EXACTLY 23 fields:
    ProductID, ProductName, Category, UnitPrice, CustomerID, CustomerName, CustomerCountry, OrderDate,
    ShipmentID, DispatchDate, EstimatedDelivery, ActualDelivery, ShippingCarrier, SupplierID, SupplierName,
    SupplierCountry, Quantity, SalePrice, TotalAmount, Discount, FinalAmount, DeliveryYear, PaymentMethod
Merge order (suggested):
  merge1 = Table1 + Table2
  merge2 = merge1 + Table3
  merge3 = merge2 + Table4
  merge4 = merge3 + Table5
  append1 = Table6 + Table7
  merge5 = merge4 + append1   &lt;- final</t>
  </si>
  <si>
    <t>Q11 (10%)</t>
  </si>
  <si>
    <t>TIME SERIES with LINEAR TREND PROJECTION.
Build a time-based PivotTable + line chart from the DATA MODEL showing monthly Quantity sold, with a LINEAR trendline.
  1. Create a PivotTable from the Data Model
     1.1 ROWS: OrderDate (grouped by MONTH)
     1.2 VALUES: Quantity (Sum)
  2. Create a line chart from this PivotTable
     2.1 Add a LINEAR trendline
     2.2 Display the R-squared value on the chart. Set 'Forecast forward' = 3 periods.
         Report the value of the trendline at the 3rd forecast period.</t>
  </si>
  <si>
    <t>Q12 (10%)</t>
  </si>
  <si>
    <t>POWER PIVOT - Column Chart with Multiple Slicers.
Build a column chart of TotalAmount by Category from the DATA MODEL, with 3 connected slicers.
  1. PivotTable: ROWS = Category, VALUES = TotalAmount (Sum)
  2. Build a column/bar chart from this PivotTable
  3. Add 3 slicers: CustomerCountry, ShippingCarrier, PaymentMethod
     (you can add these fields to the pivot but don't display them)
  4. Format slicers vertically and CONNECT all 3 slicers to the PivotTable</t>
  </si>
  <si>
    <t>Q13 (10%)</t>
  </si>
  <si>
    <t>GEOGRAPHIC MAP VISUALIZATION (with shared slicers).
The slicers below also drive Q14 - both visuals must update simultaneously.
  1. Insert a Map chart sourced from a PivotTable on the Data Model
  2. Data:
     - Locations: CustomerCountry (or SupplierCountry)
     - Values: Sum of FinalAmount
  3. Format: appropriate color scale, data labels (country + value), legend visible
  4. Insert TWO slicers: Category and PaymentMethod
  5. CONNECT both slicers to the Map PivotTable AND to the Bubble PivotTable in Q14
     (Slicer &gt; Report Connections &gt; tick BOTH pivots) so a single click filters both visuals
  6. Add a text box with 1-2 key insights</t>
  </si>
  <si>
    <t>Q14 (10%)</t>
  </si>
  <si>
    <t>BUBBLE CHART for Multi-dimensional Analysis (with shared slicers).
Driven by the SAME slicers as Q13 - filtering one slicer must update Q13 (Map) and Q14 (Bubble) at the same time.
  1. PivotTable from the Data Model:
     ROWS: ProductName
     VALUES: Quantity (Sum) -&gt; X-axis ; UnitPrice (Average) -&gt; Y-axis ; TotalAmount (Sum) -&gt; bubble size
  2. Insert a Bubble chart from this PivotTable
  3. Format: clear X/Y axis labels, data labels on key bubbles, descriptive title
  4. CONNECT the SAME 2 slicers from Q13 (Category, PaymentMethod) to this PivotTable too
  5. Verify: clicking a slicer value updates BOTH the Map (Q13) and the Bubble chart (Q14) simultaneously
  6. Add a text box with 1-2 key insights</t>
  </si>
  <si>
    <t>Q15 (10%)</t>
  </si>
  <si>
    <t>COMBINATION CHART with Primary and Secondary Axes.
Build a combo chart (columns + line on a secondary axis) from the Data Model showing VOLUME and VALUE per Category.
  1. PivotTable: ROWS = Category, VALUES = Quantity (Sum) and FinalAmount (Sum)
  2. Insert &gt; Charts &gt; Combo &gt; 'Custom Combination'
     - Quantity series: Clustered Column (PRIMARY / left axis)
     - FinalAmount series: Line, TICK 'Secondary Axis' (right axis)
  3. Formatting:
     - Chart title (e.g. 'Volume vs Value by Category')
     - PRIMARY axis title: 'Quantity (units)' ; SECONDARY axis title: 'Final Amount (USD)'
     - Different colors for the two series, legend at the bottom
     - Data labels on the LINE series only
     - Format the secondary axis as currency ($#,##0)
  4. Add a text box with 1-2 key insights (which Category has highest volume vs highest value, and whether they match)</t>
  </si>
  <si>
    <t>SECTION 3 - SQL (Sheet: 'section 3 SQL  16 A 20')  -  Weight 15%</t>
  </si>
  <si>
    <t>Upload Tables 1, 2 and 3 to https://sqliteonline.com/. Alias: Table 1 = p1, Table 2 = p2, Table 3 = p3.</t>
  </si>
  <si>
    <t>Q16 (3%)</t>
  </si>
  <si>
    <t>Count the number of DISTINCT genres in Table 2 (p2). Return a single number with column alias 'genre_count'.</t>
  </si>
  <si>
    <t>Q17 (3%)</t>
  </si>
  <si>
    <t>INNER JOIN p1 and p2. Return ID, Status, Sales, Genre WHERE Sales &gt; 520000.</t>
  </si>
  <si>
    <t>Q18 (3%)</t>
  </si>
  <si>
    <t>INNER JOIN the previous result with p3. Return Project Name, Status, Sales, Genre, Country WHERE Sales &gt; 520000 AND Country = 'UK'.</t>
  </si>
  <si>
    <t>Q19 (3%)</t>
  </si>
  <si>
    <t>INNER JOIN all THREE tables (p1, p2, p3) in a single query. Return Project Name, Status, Sales, Genre and Country WHERE Sales &gt; 600000 AND Status = 'Active'. Order results by Sales DESC.</t>
  </si>
  <si>
    <t>Q20 (3%)</t>
  </si>
  <si>
    <t>Compare LEFT JOIN vs RIGHT JOIN (vs FULL OUTER JOIN if your SQL engine supports it) between p1 and p2 on the ID column. Write THREE separate queries (one LEFT, one RIGHT, one FULL) returning ID, Project Name and Genre. Then in 1-2 sentences below the queries, explain WHY the row counts differ (which rows appear in one but not the other, and what NULLs mean in each result).</t>
  </si>
  <si>
    <t>END OF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</si>
</sst>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19"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u/>
      <sz val="11"/>
      <color theme="10"/>
      <name val="Aptos Narrow"/>
      <family val="2"/>
      <scheme val="minor"/>
    </font>
    <font>
      <b/>
      <sz val="11"/>
      <color rgb="FF0070C0"/>
      <name val="Aptos Narrow"/>
      <family val="2"/>
      <scheme val="minor"/>
    </font>
    <font>
      <sz val="11"/>
      <name val="Aptos Narrow"/>
      <family val="2"/>
      <scheme val="minor"/>
    </font>
    <font>
      <b/>
      <sz val="11"/>
      <name val="Aptos Narrow"/>
      <family val="2"/>
      <scheme val="minor"/>
    </font>
    <font>
      <sz val="8"/>
      <name val="Aptos Narrow"/>
      <family val="2"/>
      <scheme val="minor"/>
    </font>
    <font>
      <b/>
      <u/>
      <sz val="11"/>
      <color theme="1"/>
      <name val="Aptos Narrow"/>
      <family val="2"/>
      <scheme val="minor"/>
    </font>
    <font>
      <sz val="11"/>
      <color rgb="FF0070C0"/>
      <name val="Aptos Narrow"/>
      <family val="2"/>
      <scheme val="minor"/>
    </font>
    <font>
      <sz val="11"/>
      <color rgb="FFFFFFFF"/>
      <name val="Aptos Narrow"/>
      <family val="2"/>
      <scheme val="minor"/>
    </font>
    <font>
      <sz val="11"/>
      <color rgb="FF002060"/>
      <name val="Aptos Narrow"/>
      <family val="2"/>
      <scheme val="minor"/>
    </font>
    <font>
      <b/>
      <sz val="11"/>
      <color rgb="FFFFFFFF"/>
      <name val="Aptos Narrow"/>
      <family val="2"/>
      <scheme val="minor"/>
    </font>
    <font>
      <sz val="11"/>
      <color rgb="FF215C98"/>
      <name val="Aptos Narrow"/>
      <family val="2"/>
      <scheme val="minor"/>
    </font>
    <font>
      <sz val="18"/>
      <color rgb="FFFFFFFF"/>
      <name val="Aptos Narrow"/>
      <family val="2"/>
      <scheme val="minor"/>
    </font>
    <font>
      <sz val="11"/>
      <color rgb="FF595959"/>
      <name val="Aptos Narrow"/>
      <family val="2"/>
      <scheme val="minor"/>
    </font>
    <font>
      <sz val="14"/>
      <color rgb="FFFFFFFF"/>
      <name val="Aptos Narrow"/>
      <family val="2"/>
      <scheme val="minor"/>
    </font>
  </fonts>
  <fills count="1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00B0F0"/>
        <bgColor indexed="64"/>
      </patternFill>
    </fill>
    <fill>
      <patternFill patternType="solid">
        <fgColor rgb="FF0070C0"/>
        <bgColor indexed="64"/>
      </patternFill>
    </fill>
    <fill>
      <patternFill patternType="solid">
        <fgColor theme="3" tint="0.749992370372631"/>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D9D9D9"/>
        <bgColor indexed="64"/>
      </patternFill>
    </fill>
    <fill>
      <patternFill patternType="solid">
        <fgColor rgb="FF808080"/>
        <bgColor indexed="64"/>
      </patternFill>
    </fill>
    <fill>
      <patternFill patternType="solid">
        <fgColor rgb="FFFFFFFF"/>
        <bgColor indexed="64"/>
      </patternFill>
    </fill>
    <fill>
      <patternFill patternType="solid">
        <fgColor rgb="FF002060"/>
        <bgColor indexed="64"/>
      </patternFill>
    </fill>
    <fill>
      <patternFill patternType="solid">
        <fgColor rgb="FFDDEBF7"/>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applyNumberFormat="0" applyFill="0" applyBorder="0" applyAlignment="0" applyProtection="0"/>
  </cellStyleXfs>
  <cellXfs count="116">
    <xf numFmtId="0" fontId="0" fillId="0" borderId="0" xfId="0"/>
    <xf numFmtId="0" fontId="2" fillId="0" borderId="1" xfId="0" applyFont="1" applyBorder="1" applyAlignment="1">
      <alignment horizontal="center" vertical="top"/>
    </xf>
    <xf numFmtId="0" fontId="4" fillId="0" borderId="0" xfId="0" applyFont="1"/>
    <xf numFmtId="164" fontId="0" fillId="0" borderId="1" xfId="0" applyNumberFormat="1" applyBorder="1"/>
    <xf numFmtId="0" fontId="0" fillId="0" borderId="1" xfId="0" applyBorder="1"/>
    <xf numFmtId="0" fontId="0" fillId="2" borderId="1" xfId="0" applyFill="1" applyBorder="1"/>
    <xf numFmtId="0" fontId="0" fillId="2" borderId="0" xfId="0" applyFill="1"/>
    <xf numFmtId="0" fontId="0" fillId="4" borderId="1" xfId="0" applyFill="1" applyBorder="1"/>
    <xf numFmtId="9" fontId="3" fillId="5" borderId="0" xfId="0" applyNumberFormat="1" applyFont="1" applyFill="1" applyAlignment="1">
      <alignment horizontal="center"/>
    </xf>
    <xf numFmtId="0" fontId="6" fillId="0" borderId="0" xfId="0" applyFont="1"/>
    <xf numFmtId="0" fontId="7" fillId="0" borderId="0" xfId="0" applyFont="1"/>
    <xf numFmtId="0" fontId="8" fillId="0" borderId="0" xfId="0" applyFont="1"/>
    <xf numFmtId="0" fontId="6" fillId="0" borderId="3" xfId="0" applyFont="1" applyBorder="1"/>
    <xf numFmtId="0" fontId="1" fillId="6" borderId="1" xfId="0" applyFont="1" applyFill="1" applyBorder="1" applyAlignment="1">
      <alignment horizontal="center"/>
    </xf>
    <xf numFmtId="0" fontId="1" fillId="6" borderId="2" xfId="0" applyFont="1" applyFill="1" applyBorder="1" applyAlignment="1">
      <alignment horizontal="center"/>
    </xf>
    <xf numFmtId="0" fontId="6" fillId="0" borderId="1" xfId="0" applyFont="1" applyBorder="1" applyAlignment="1">
      <alignment horizontal="center"/>
    </xf>
    <xf numFmtId="9" fontId="6" fillId="0" borderId="1" xfId="0" applyNumberFormat="1" applyFont="1" applyBorder="1" applyAlignment="1">
      <alignment horizontal="center"/>
    </xf>
    <xf numFmtId="0" fontId="2" fillId="0" borderId="0" xfId="0" applyFont="1"/>
    <xf numFmtId="0" fontId="7" fillId="0" borderId="1" xfId="0" applyFont="1" applyBorder="1" applyAlignment="1">
      <alignment horizontal="center" vertical="top"/>
    </xf>
    <xf numFmtId="0" fontId="7" fillId="0" borderId="0" xfId="1" applyFont="1"/>
    <xf numFmtId="0" fontId="0" fillId="3" borderId="0" xfId="0" applyFill="1"/>
    <xf numFmtId="0" fontId="2" fillId="2" borderId="0" xfId="0" applyFont="1" applyFill="1"/>
    <xf numFmtId="0" fontId="6" fillId="0" borderId="4" xfId="0" applyFont="1" applyBorder="1"/>
    <xf numFmtId="0" fontId="10" fillId="0" borderId="0" xfId="0" applyFont="1"/>
    <xf numFmtId="0" fontId="4" fillId="0" borderId="0" xfId="1" applyFont="1"/>
    <xf numFmtId="1" fontId="0" fillId="0" borderId="0" xfId="0" applyNumberFormat="1"/>
    <xf numFmtId="14" fontId="0" fillId="0" borderId="0" xfId="0" applyNumberFormat="1"/>
    <xf numFmtId="164" fontId="0" fillId="0" borderId="0" xfId="0" applyNumberFormat="1"/>
    <xf numFmtId="9" fontId="3" fillId="0" borderId="0" xfId="0" applyNumberFormat="1" applyFont="1" applyAlignment="1">
      <alignment horizontal="center"/>
    </xf>
    <xf numFmtId="165" fontId="3" fillId="0" borderId="0" xfId="0" applyNumberFormat="1" applyFont="1" applyAlignment="1">
      <alignment horizontal="center"/>
    </xf>
    <xf numFmtId="0" fontId="0" fillId="9" borderId="1" xfId="0" applyFill="1" applyBorder="1"/>
    <xf numFmtId="0" fontId="0" fillId="9" borderId="2" xfId="0" applyFill="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4" borderId="5" xfId="0" applyFill="1" applyBorder="1"/>
    <xf numFmtId="9" fontId="3" fillId="8" borderId="1" xfId="0" applyNumberFormat="1" applyFont="1" applyFill="1" applyBorder="1" applyAlignment="1">
      <alignment horizontal="center"/>
    </xf>
    <xf numFmtId="0" fontId="0" fillId="6" borderId="0" xfId="0" applyFill="1"/>
    <xf numFmtId="0" fontId="0" fillId="0" borderId="7" xfId="0" applyBorder="1" applyAlignment="1">
      <alignment horizontal="left" vertical="center" indent="1"/>
    </xf>
    <xf numFmtId="0" fontId="1" fillId="6" borderId="14" xfId="0" applyFont="1" applyFill="1" applyBorder="1" applyAlignment="1">
      <alignment horizontal="center"/>
    </xf>
    <xf numFmtId="0" fontId="11" fillId="0" borderId="0" xfId="0" applyFont="1"/>
    <xf numFmtId="0" fontId="6" fillId="2" borderId="6" xfId="0" applyFont="1" applyFill="1" applyBorder="1"/>
    <xf numFmtId="0" fontId="6" fillId="2" borderId="7" xfId="0" applyFont="1" applyFill="1" applyBorder="1"/>
    <xf numFmtId="0" fontId="6" fillId="2" borderId="8" xfId="0" applyFont="1" applyFill="1" applyBorder="1"/>
    <xf numFmtId="0" fontId="6" fillId="2" borderId="9" xfId="0" applyFont="1" applyFill="1" applyBorder="1"/>
    <xf numFmtId="0" fontId="6" fillId="2" borderId="0" xfId="0" applyFont="1" applyFill="1"/>
    <xf numFmtId="0" fontId="6" fillId="2" borderId="10" xfId="0" applyFont="1" applyFill="1" applyBorder="1"/>
    <xf numFmtId="0" fontId="6" fillId="2" borderId="11" xfId="0" applyFont="1" applyFill="1" applyBorder="1"/>
    <xf numFmtId="0" fontId="6" fillId="2" borderId="12" xfId="0" applyFont="1" applyFill="1" applyBorder="1"/>
    <xf numFmtId="0" fontId="6" fillId="2" borderId="13" xfId="0" applyFont="1" applyFill="1" applyBorder="1"/>
    <xf numFmtId="0" fontId="11" fillId="0" borderId="0" xfId="0" applyFont="1" applyAlignment="1">
      <alignment horizontal="left" vertical="center" indent="1"/>
    </xf>
    <xf numFmtId="0" fontId="11" fillId="0" borderId="0" xfId="0" applyFont="1" applyAlignment="1">
      <alignment horizontal="left" vertical="center" indent="2"/>
    </xf>
    <xf numFmtId="0" fontId="11" fillId="0" borderId="0" xfId="0" applyFont="1" applyAlignment="1">
      <alignment horizontal="left" vertical="center" indent="3"/>
    </xf>
    <xf numFmtId="0" fontId="0" fillId="10" borderId="0" xfId="0" applyFill="1"/>
    <xf numFmtId="14" fontId="0" fillId="0" borderId="1" xfId="0" applyNumberFormat="1" applyBorder="1"/>
    <xf numFmtId="0" fontId="6" fillId="0" borderId="0" xfId="0" applyFont="1" applyAlignment="1">
      <alignment horizontal="left" vertical="center" indent="2"/>
    </xf>
    <xf numFmtId="9" fontId="3" fillId="6" borderId="0" xfId="0" applyNumberFormat="1" applyFont="1" applyFill="1" applyAlignment="1">
      <alignment horizontal="center"/>
    </xf>
    <xf numFmtId="9" fontId="3" fillId="6" borderId="1" xfId="0" applyNumberFormat="1" applyFont="1" applyFill="1" applyBorder="1" applyAlignment="1">
      <alignment horizontal="center"/>
    </xf>
    <xf numFmtId="0" fontId="0" fillId="11" borderId="0" xfId="0" applyFill="1" applyAlignment="1">
      <alignment horizontal="center"/>
    </xf>
    <xf numFmtId="9" fontId="12" fillId="12" borderId="0" xfId="0" applyNumberFormat="1" applyFont="1" applyFill="1" applyAlignment="1">
      <alignment horizontal="center"/>
    </xf>
    <xf numFmtId="0" fontId="13" fillId="0" borderId="0" xfId="0" applyFont="1"/>
    <xf numFmtId="9" fontId="6" fillId="13" borderId="1" xfId="0" applyNumberFormat="1" applyFont="1" applyFill="1" applyBorder="1" applyAlignment="1">
      <alignment horizontal="center"/>
    </xf>
    <xf numFmtId="0" fontId="14" fillId="6" borderId="14" xfId="0" applyFont="1" applyFill="1" applyBorder="1" applyAlignment="1">
      <alignment horizontal="center"/>
    </xf>
    <xf numFmtId="0" fontId="6" fillId="13" borderId="1" xfId="0" applyFont="1" applyFill="1" applyBorder="1" applyAlignment="1">
      <alignment horizontal="center"/>
    </xf>
    <xf numFmtId="0" fontId="14" fillId="6" borderId="1" xfId="0" applyFont="1" applyFill="1" applyBorder="1" applyAlignment="1">
      <alignment horizontal="center"/>
    </xf>
    <xf numFmtId="0" fontId="11" fillId="13" borderId="0" xfId="0" applyFont="1" applyFill="1"/>
    <xf numFmtId="9" fontId="11" fillId="13" borderId="0" xfId="0" applyNumberFormat="1" applyFont="1" applyFill="1" applyAlignment="1">
      <alignment horizontal="center"/>
    </xf>
    <xf numFmtId="0" fontId="12" fillId="7" borderId="0" xfId="0" applyFont="1" applyFill="1" applyAlignment="1">
      <alignment horizontal="center"/>
    </xf>
    <xf numFmtId="0" fontId="6" fillId="0" borderId="7" xfId="0" applyFont="1" applyBorder="1"/>
    <xf numFmtId="0" fontId="6" fillId="0" borderId="12" xfId="0" applyFont="1" applyBorder="1"/>
    <xf numFmtId="0" fontId="6" fillId="0" borderId="0" xfId="0" applyFont="1" applyAlignment="1">
      <alignment vertical="center"/>
    </xf>
    <xf numFmtId="0" fontId="6" fillId="0" borderId="6" xfId="0" applyFont="1" applyBorder="1"/>
    <xf numFmtId="0" fontId="6" fillId="0" borderId="9" xfId="0" applyFont="1" applyBorder="1"/>
    <xf numFmtId="0" fontId="6" fillId="0" borderId="11" xfId="0" applyFont="1" applyBorder="1"/>
    <xf numFmtId="0" fontId="12" fillId="6" borderId="14" xfId="0" applyFont="1" applyFill="1" applyBorder="1" applyAlignment="1">
      <alignment horizontal="center"/>
    </xf>
    <xf numFmtId="0" fontId="6" fillId="0" borderId="9" xfId="0" applyFont="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12" xfId="0" applyFont="1" applyBorder="1" applyAlignment="1">
      <alignment vertical="center"/>
    </xf>
    <xf numFmtId="0" fontId="6" fillId="0" borderId="11" xfId="0" applyFont="1" applyBorder="1" applyAlignment="1">
      <alignment vertical="center"/>
    </xf>
    <xf numFmtId="9" fontId="14" fillId="6" borderId="21" xfId="0" applyNumberFormat="1" applyFont="1" applyFill="1" applyBorder="1" applyAlignment="1">
      <alignment vertical="center"/>
    </xf>
    <xf numFmtId="9" fontId="1" fillId="6" borderId="22" xfId="0" applyNumberFormat="1" applyFont="1" applyFill="1" applyBorder="1" applyAlignment="1">
      <alignment vertical="center"/>
    </xf>
    <xf numFmtId="9" fontId="14" fillId="6" borderId="23" xfId="0" applyNumberFormat="1" applyFont="1" applyFill="1" applyBorder="1" applyAlignment="1">
      <alignment vertical="center"/>
    </xf>
    <xf numFmtId="0" fontId="1" fillId="6" borderId="21" xfId="0" applyFont="1" applyFill="1" applyBorder="1" applyAlignment="1">
      <alignment horizontal="center"/>
    </xf>
    <xf numFmtId="9" fontId="14" fillId="6" borderId="22" xfId="0" applyNumberFormat="1" applyFont="1" applyFill="1" applyBorder="1" applyAlignment="1">
      <alignment vertical="center"/>
    </xf>
    <xf numFmtId="0" fontId="0" fillId="0" borderId="23" xfId="0" applyBorder="1"/>
    <xf numFmtId="9" fontId="1" fillId="0" borderId="22" xfId="0" applyNumberFormat="1" applyFont="1" applyBorder="1" applyAlignment="1">
      <alignment vertical="center"/>
    </xf>
    <xf numFmtId="0" fontId="15" fillId="0" borderId="0" xfId="0" applyFont="1" applyAlignment="1">
      <alignment horizontal="left"/>
    </xf>
    <xf numFmtId="0" fontId="15" fillId="0" borderId="0" xfId="0" applyFont="1"/>
    <xf numFmtId="0" fontId="15" fillId="0" borderId="7" xfId="0" applyFont="1" applyBorder="1"/>
    <xf numFmtId="0" fontId="16" fillId="14" borderId="24" xfId="0" applyFont="1" applyFill="1" applyBorder="1" applyAlignment="1">
      <alignment horizontal="center" vertical="top" wrapText="1"/>
    </xf>
    <xf numFmtId="0" fontId="0" fillId="0" borderId="24" xfId="0" applyBorder="1" applyAlignment="1">
      <alignment vertical="top" wrapText="1"/>
    </xf>
    <xf numFmtId="0" fontId="17" fillId="0" borderId="24" xfId="0" applyFont="1" applyBorder="1" applyAlignment="1">
      <alignment vertical="top" wrapText="1"/>
    </xf>
    <xf numFmtId="0" fontId="18" fillId="7" borderId="24" xfId="0" applyFont="1" applyFill="1" applyBorder="1" applyAlignment="1">
      <alignment vertical="top" wrapText="1"/>
    </xf>
    <xf numFmtId="0" fontId="0" fillId="15" borderId="24" xfId="0" applyFill="1" applyBorder="1" applyAlignment="1">
      <alignment vertical="top" wrapText="1"/>
    </xf>
    <xf numFmtId="0" fontId="12" fillId="14" borderId="24" xfId="0" applyFont="1" applyFill="1" applyBorder="1" applyAlignment="1">
      <alignment horizontal="center" vertical="top" wrapText="1"/>
    </xf>
    <xf numFmtId="0" fontId="6" fillId="0" borderId="6" xfId="0" applyFont="1" applyBorder="1" applyAlignment="1">
      <alignment horizontal="center" vertical="center" textRotation="91"/>
    </xf>
    <xf numFmtId="0" fontId="6" fillId="0" borderId="7" xfId="0" applyFont="1" applyBorder="1" applyAlignment="1">
      <alignment horizontal="center" vertical="center" textRotation="91"/>
    </xf>
    <xf numFmtId="0" fontId="6" fillId="0" borderId="9" xfId="0" applyFont="1" applyBorder="1" applyAlignment="1">
      <alignment horizontal="center" vertical="center" textRotation="91"/>
    </xf>
    <xf numFmtId="0" fontId="6" fillId="0" borderId="0" xfId="0" applyFont="1" applyAlignment="1">
      <alignment horizontal="center" vertical="center" textRotation="9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6" fillId="2" borderId="15" xfId="0" applyFont="1" applyFill="1" applyBorder="1" applyAlignment="1">
      <alignment horizontal="left" wrapText="1"/>
    </xf>
    <xf numFmtId="0" fontId="6" fillId="2" borderId="16" xfId="0" applyFont="1" applyFill="1" applyBorder="1" applyAlignment="1">
      <alignment horizontal="left" wrapText="1"/>
    </xf>
    <xf numFmtId="0" fontId="6" fillId="2" borderId="17" xfId="0" applyFont="1" applyFill="1" applyBorder="1" applyAlignment="1">
      <alignment horizontal="left" wrapText="1"/>
    </xf>
    <xf numFmtId="0" fontId="6" fillId="2" borderId="18" xfId="0" applyFont="1" applyFill="1" applyBorder="1" applyAlignment="1">
      <alignment horizontal="left" wrapText="1"/>
    </xf>
    <xf numFmtId="0" fontId="6" fillId="2" borderId="19" xfId="0" applyFont="1" applyFill="1" applyBorder="1" applyAlignment="1">
      <alignment horizontal="left" wrapText="1"/>
    </xf>
    <xf numFmtId="0" fontId="6" fillId="2" borderId="20" xfId="0" applyFont="1" applyFill="1" applyBorder="1" applyAlignment="1">
      <alignment horizontal="left" wrapText="1"/>
    </xf>
    <xf numFmtId="0" fontId="1" fillId="10" borderId="0" xfId="0" applyFont="1" applyFill="1" applyAlignment="1">
      <alignment horizontal="center" textRotation="255"/>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447908</xdr:colOff>
      <xdr:row>3</xdr:row>
      <xdr:rowOff>162027</xdr:rowOff>
    </xdr:to>
    <xdr:pic>
      <xdr:nvPicPr>
        <xdr:cNvPr id="2" name="Picture 1">
          <a:extLst>
            <a:ext uri="{FF2B5EF4-FFF2-40B4-BE49-F238E27FC236}">
              <a16:creationId xmlns:a16="http://schemas.microsoft.com/office/drawing/2014/main" id="{ED3AD9DB-A6BF-192B-0FEA-F980A07532FC}"/>
            </a:ext>
          </a:extLst>
        </xdr:cNvPr>
        <xdr:cNvPicPr>
          <a:picLocks noChangeAspect="1"/>
        </xdr:cNvPicPr>
      </xdr:nvPicPr>
      <xdr:blipFill>
        <a:blip xmlns:r="http://schemas.openxmlformats.org/officeDocument/2006/relationships" r:embed="rId1"/>
        <a:stretch>
          <a:fillRect/>
        </a:stretch>
      </xdr:blipFill>
      <xdr:spPr>
        <a:xfrm>
          <a:off x="609600" y="0"/>
          <a:ext cx="1667108" cy="7335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323850</xdr:colOff>
      <xdr:row>9</xdr:row>
      <xdr:rowOff>114300</xdr:rowOff>
    </xdr:from>
    <xdr:to>
      <xdr:col>8</xdr:col>
      <xdr:colOff>514350</xdr:colOff>
      <xdr:row>9</xdr:row>
      <xdr:rowOff>133350</xdr:rowOff>
    </xdr:to>
    <xdr:cxnSp macro="">
      <xdr:nvCxnSpPr>
        <xdr:cNvPr id="3" name="Straight Arrow Connector 2">
          <a:extLst>
            <a:ext uri="{FF2B5EF4-FFF2-40B4-BE49-F238E27FC236}">
              <a16:creationId xmlns:a16="http://schemas.microsoft.com/office/drawing/2014/main" id="{3FA32C07-4E1D-23F0-8FE5-819ADD4605F3}"/>
            </a:ext>
          </a:extLst>
        </xdr:cNvPr>
        <xdr:cNvCxnSpPr/>
      </xdr:nvCxnSpPr>
      <xdr:spPr>
        <a:xfrm>
          <a:off x="3524250" y="1838325"/>
          <a:ext cx="3019425" cy="190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52FAE1D-EE52-4AA4-8FFC-44B0D9406B45}">
  <we:reference id="WA200009404" version="1.0.0.8" store="Omex" storeType="OMEX"/>
  <we:alternateReferences>
    <we:reference id="WA200009404" version="1.0.0.8" store="WA200009404" storeType="OMEX"/>
  </we:alternateReferences>
  <we:properties>
    <we:property name="claude.fileId" value="&quot;b7562d10-0fe4-450b-8adc-e7b4217fe43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MU_0009@%20%20%20Folk&#8203;Collection" TargetMode="External"/><Relationship Id="rId2" Type="http://schemas.openxmlformats.org/officeDocument/2006/relationships/hyperlink" Target="mailto:MU_0005@%20EDMCollectio&#8205;n" TargetMode="External"/><Relationship Id="rId1" Type="http://schemas.openxmlformats.org/officeDocument/2006/relationships/hyperlink" Target="mailto:MU_0001@%20%20PopColle&#65279;ct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148D-B182-42D0-915F-9E9E55437334}">
  <dimension ref="B1:K27"/>
  <sheetViews>
    <sheetView showGridLines="0" workbookViewId="0">
      <selection activeCell="C26" sqref="C26"/>
    </sheetView>
  </sheetViews>
  <sheetFormatPr defaultRowHeight="15" x14ac:dyDescent="0.25"/>
  <cols>
    <col min="7" max="7" width="145.7109375" customWidth="1"/>
    <col min="11" max="11" width="14.85546875" customWidth="1"/>
  </cols>
  <sheetData>
    <row r="1" spans="2:11" x14ac:dyDescent="0.25">
      <c r="F1" s="2" t="s">
        <v>41</v>
      </c>
    </row>
    <row r="5" spans="2:11" ht="15.75" thickBot="1" x14ac:dyDescent="0.3">
      <c r="B5" s="14" t="s">
        <v>29</v>
      </c>
      <c r="C5" s="14" t="s">
        <v>18</v>
      </c>
      <c r="D5" s="14" t="s">
        <v>30</v>
      </c>
    </row>
    <row r="6" spans="2:11" ht="15" customHeight="1" x14ac:dyDescent="0.25">
      <c r="B6" s="15">
        <v>1</v>
      </c>
      <c r="C6" s="16">
        <v>0.02</v>
      </c>
      <c r="D6" s="13">
        <f>'section 1 ( 1 to 9)'!R2</f>
        <v>10</v>
      </c>
      <c r="E6" s="73" t="s">
        <v>35</v>
      </c>
      <c r="F6" s="33"/>
      <c r="G6" s="33"/>
      <c r="H6" s="101" t="s">
        <v>25</v>
      </c>
      <c r="I6" s="102"/>
      <c r="J6" s="102"/>
      <c r="K6" s="88" t="s">
        <v>31</v>
      </c>
    </row>
    <row r="7" spans="2:11" x14ac:dyDescent="0.25">
      <c r="B7" s="15">
        <v>2</v>
      </c>
      <c r="C7" s="16">
        <v>0.02</v>
      </c>
      <c r="D7" s="13">
        <f>'section 1 ( 1 to 9)'!R3</f>
        <v>10</v>
      </c>
      <c r="E7" s="9" t="s">
        <v>46</v>
      </c>
      <c r="H7" s="103"/>
      <c r="I7" s="104"/>
      <c r="J7" s="104"/>
      <c r="K7" s="89">
        <f>SUM(C6:C15)</f>
        <v>0.25</v>
      </c>
    </row>
    <row r="8" spans="2:11" x14ac:dyDescent="0.25">
      <c r="B8" s="15">
        <v>3</v>
      </c>
      <c r="C8" s="16">
        <v>0.02</v>
      </c>
      <c r="D8" s="13">
        <f>'section 1 ( 1 to 9)'!R4</f>
        <v>10</v>
      </c>
      <c r="E8" s="9" t="s">
        <v>36</v>
      </c>
      <c r="H8" s="103"/>
      <c r="I8" s="104"/>
      <c r="J8" s="104"/>
      <c r="K8" s="86"/>
    </row>
    <row r="9" spans="2:11" x14ac:dyDescent="0.25">
      <c r="B9" s="15">
        <v>4</v>
      </c>
      <c r="C9" s="16">
        <v>0.02</v>
      </c>
      <c r="D9" s="13">
        <f>'section 1 ( 1 to 9)'!R5</f>
        <v>10</v>
      </c>
      <c r="E9" s="9" t="s">
        <v>47</v>
      </c>
      <c r="H9" s="103"/>
      <c r="I9" s="104"/>
      <c r="J9" s="104"/>
      <c r="K9" s="86"/>
    </row>
    <row r="10" spans="2:11" x14ac:dyDescent="0.25">
      <c r="B10" s="15">
        <v>5</v>
      </c>
      <c r="C10" s="16">
        <v>0.02</v>
      </c>
      <c r="D10" s="13">
        <f>'section 1 ( 1 to 9)'!R6</f>
        <v>10</v>
      </c>
      <c r="E10" s="9" t="s">
        <v>15</v>
      </c>
      <c r="H10" s="103"/>
      <c r="I10" s="104"/>
      <c r="J10" s="104"/>
      <c r="K10" s="86"/>
    </row>
    <row r="11" spans="2:11" x14ac:dyDescent="0.25">
      <c r="B11" s="15">
        <v>6</v>
      </c>
      <c r="C11" s="16">
        <v>0.02</v>
      </c>
      <c r="D11" s="13">
        <f>'section 1 ( 1 to 9)'!R33</f>
        <v>10</v>
      </c>
      <c r="E11" s="9" t="s">
        <v>120</v>
      </c>
      <c r="H11" s="103"/>
      <c r="I11" s="104"/>
      <c r="J11" s="104"/>
      <c r="K11" s="86"/>
    </row>
    <row r="12" spans="2:11" x14ac:dyDescent="0.25">
      <c r="B12" s="15">
        <v>7</v>
      </c>
      <c r="C12" s="16">
        <v>0.02</v>
      </c>
      <c r="D12" s="13">
        <f>'section 1 ( 1 to 9)'!R45</f>
        <v>10</v>
      </c>
      <c r="E12" s="9" t="s">
        <v>121</v>
      </c>
      <c r="H12" s="103"/>
      <c r="I12" s="104"/>
      <c r="J12" s="104"/>
      <c r="K12" s="86"/>
    </row>
    <row r="13" spans="2:11" x14ac:dyDescent="0.25">
      <c r="B13" s="15">
        <v>8</v>
      </c>
      <c r="C13" s="16">
        <v>0.04</v>
      </c>
      <c r="D13" s="13">
        <f>'section 1 ( 1 to 9)'!R48</f>
        <v>10</v>
      </c>
      <c r="E13" s="9" t="s">
        <v>48</v>
      </c>
      <c r="H13" s="103"/>
      <c r="I13" s="104"/>
      <c r="J13" s="104"/>
      <c r="K13" s="86"/>
    </row>
    <row r="14" spans="2:11" x14ac:dyDescent="0.25">
      <c r="B14" s="15">
        <v>9</v>
      </c>
      <c r="C14" s="66">
        <v>0.04</v>
      </c>
      <c r="D14" s="13">
        <f>'section 1 ( 1 to 9)'!R52</f>
        <v>10</v>
      </c>
      <c r="E14" s="9" t="s">
        <v>122</v>
      </c>
      <c r="H14" s="103"/>
      <c r="I14" s="104"/>
      <c r="J14" s="104"/>
      <c r="K14" s="86"/>
    </row>
    <row r="15" spans="2:11" ht="15" customHeight="1" thickBot="1" x14ac:dyDescent="0.3">
      <c r="B15" s="15" t="s">
        <v>448</v>
      </c>
      <c r="C15" s="66">
        <v>0.03</v>
      </c>
      <c r="D15" s="69">
        <f>'section 1 ( 1 to 9)'!R54</f>
        <v>10</v>
      </c>
      <c r="E15" s="74" t="s">
        <v>449</v>
      </c>
      <c r="F15" s="38"/>
      <c r="G15" s="38"/>
      <c r="H15" s="103"/>
      <c r="I15" s="104"/>
      <c r="J15" s="104"/>
      <c r="K15" s="90"/>
    </row>
    <row r="16" spans="2:11" ht="15" customHeight="1" x14ac:dyDescent="0.25">
      <c r="B16" s="68">
        <v>10</v>
      </c>
      <c r="C16" s="66">
        <v>0.1</v>
      </c>
      <c r="D16" s="67">
        <f>'sect 2 quesion 10'!Q1</f>
        <v>10</v>
      </c>
      <c r="E16" s="76" t="s">
        <v>450</v>
      </c>
      <c r="F16" s="33"/>
      <c r="G16" s="33"/>
      <c r="H16" s="105" t="s">
        <v>26</v>
      </c>
      <c r="I16" s="106"/>
      <c r="J16" s="106"/>
      <c r="K16" s="85">
        <f>SUM(C16:C21)</f>
        <v>0.6</v>
      </c>
    </row>
    <row r="17" spans="2:11" x14ac:dyDescent="0.25">
      <c r="B17" s="15">
        <v>11</v>
      </c>
      <c r="C17" s="16">
        <v>0.1</v>
      </c>
      <c r="D17" s="44">
        <f>'section 2_ quesitons 11 to 15'!P13</f>
        <v>10</v>
      </c>
      <c r="E17" s="77" t="s">
        <v>492</v>
      </c>
      <c r="H17" s="107"/>
      <c r="I17" s="108"/>
      <c r="J17" s="108"/>
      <c r="K17" s="86"/>
    </row>
    <row r="18" spans="2:11" x14ac:dyDescent="0.25">
      <c r="B18" s="15">
        <v>12</v>
      </c>
      <c r="C18" s="16">
        <v>0.1</v>
      </c>
      <c r="D18" s="44">
        <f>'section 2_ quesitons 11 to 15'!P56</f>
        <v>10</v>
      </c>
      <c r="E18" s="77" t="s">
        <v>493</v>
      </c>
      <c r="H18" s="107"/>
      <c r="I18" s="108"/>
      <c r="J18" s="108"/>
      <c r="K18" s="86"/>
    </row>
    <row r="19" spans="2:11" x14ac:dyDescent="0.25">
      <c r="B19" s="15">
        <v>13</v>
      </c>
      <c r="C19" s="16">
        <v>0.1</v>
      </c>
      <c r="D19" s="44">
        <f>'section 2_ quesitons 11 to 15'!P103</f>
        <v>10</v>
      </c>
      <c r="E19" s="77" t="s">
        <v>494</v>
      </c>
      <c r="H19" s="107"/>
      <c r="I19" s="108"/>
      <c r="J19" s="108"/>
      <c r="K19" s="86"/>
    </row>
    <row r="20" spans="2:11" x14ac:dyDescent="0.25">
      <c r="B20" s="15">
        <v>14</v>
      </c>
      <c r="C20" s="16">
        <v>0.1</v>
      </c>
      <c r="D20" s="44">
        <f>'section 2_ quesitons 11 to 15'!P145</f>
        <v>10</v>
      </c>
      <c r="E20" s="77" t="s">
        <v>495</v>
      </c>
      <c r="H20" s="107"/>
      <c r="I20" s="108"/>
      <c r="J20" s="108"/>
      <c r="K20" s="86"/>
    </row>
    <row r="21" spans="2:11" ht="15.75" thickBot="1" x14ac:dyDescent="0.3">
      <c r="B21" s="15">
        <v>15</v>
      </c>
      <c r="C21" s="16">
        <v>0.1</v>
      </c>
      <c r="D21" s="44">
        <f>'section 2_ quesitons 11 to 15'!O195</f>
        <v>10</v>
      </c>
      <c r="E21" s="78" t="s">
        <v>384</v>
      </c>
      <c r="F21" s="38"/>
      <c r="G21" s="38"/>
      <c r="H21" s="37"/>
      <c r="I21" s="83"/>
      <c r="J21" s="83"/>
      <c r="K21" s="87"/>
    </row>
    <row r="22" spans="2:11" x14ac:dyDescent="0.25">
      <c r="B22" s="15">
        <v>16</v>
      </c>
      <c r="C22" s="66">
        <v>0.03</v>
      </c>
      <c r="D22" s="44">
        <f>'section 3 SQL  16 A 20'!Q6</f>
        <v>10</v>
      </c>
      <c r="E22" s="76" t="s">
        <v>42</v>
      </c>
      <c r="F22" s="33"/>
      <c r="G22" s="34"/>
      <c r="H22" s="81" t="s">
        <v>27</v>
      </c>
      <c r="I22" s="82"/>
      <c r="J22" s="82"/>
      <c r="K22" s="85">
        <f>SUM(C22:C26)</f>
        <v>0.15</v>
      </c>
    </row>
    <row r="23" spans="2:11" x14ac:dyDescent="0.25">
      <c r="B23" s="15">
        <v>17</v>
      </c>
      <c r="C23" s="66">
        <v>0.03</v>
      </c>
      <c r="D23" s="44">
        <f>'section 3 SQL  16 A 20'!Q22</f>
        <v>10</v>
      </c>
      <c r="E23" s="77" t="s">
        <v>43</v>
      </c>
      <c r="G23" s="36"/>
      <c r="H23" s="80"/>
      <c r="I23" s="75"/>
      <c r="J23" s="75"/>
      <c r="K23" s="86"/>
    </row>
    <row r="24" spans="2:11" x14ac:dyDescent="0.25">
      <c r="B24" s="15">
        <v>18</v>
      </c>
      <c r="C24" s="66">
        <v>0.03</v>
      </c>
      <c r="D24" s="44">
        <f>'section 3 SQL  16 A 20'!Q37</f>
        <v>10</v>
      </c>
      <c r="E24" s="77" t="s">
        <v>49</v>
      </c>
      <c r="G24" s="36"/>
      <c r="H24" s="80"/>
      <c r="I24" s="75"/>
      <c r="J24" s="75"/>
      <c r="K24" s="86"/>
    </row>
    <row r="25" spans="2:11" x14ac:dyDescent="0.25">
      <c r="B25" s="68">
        <v>19</v>
      </c>
      <c r="C25" s="66">
        <v>0.03</v>
      </c>
      <c r="D25" s="67">
        <f>'section 3 SQL  16 A 20'!Q52</f>
        <v>10</v>
      </c>
      <c r="E25" s="77" t="s">
        <v>484</v>
      </c>
      <c r="G25" s="36"/>
      <c r="H25" s="80"/>
      <c r="I25" s="75"/>
      <c r="J25" s="75"/>
      <c r="K25" s="91"/>
    </row>
    <row r="26" spans="2:11" ht="15.75" thickBot="1" x14ac:dyDescent="0.3">
      <c r="B26" s="68">
        <v>20</v>
      </c>
      <c r="C26" s="66">
        <v>0.03</v>
      </c>
      <c r="D26" s="79">
        <f>'section 3 SQL  16 A 20'!Q67</f>
        <v>10</v>
      </c>
      <c r="E26" s="78" t="s">
        <v>485</v>
      </c>
      <c r="F26" s="38"/>
      <c r="G26" s="39"/>
      <c r="H26" s="84"/>
      <c r="I26" s="83"/>
      <c r="J26" s="83"/>
      <c r="K26" s="90"/>
    </row>
    <row r="27" spans="2:11" x14ac:dyDescent="0.25">
      <c r="B27" s="70" t="s">
        <v>28</v>
      </c>
      <c r="C27" s="71">
        <f>SUM(C6:C26)</f>
        <v>1</v>
      </c>
      <c r="D27" s="72">
        <f>SUMPRODUCT(C6:C26,D6:D26)</f>
        <v>10.000000000000004</v>
      </c>
    </row>
  </sheetData>
  <mergeCells count="2">
    <mergeCell ref="H6:J15"/>
    <mergeCell ref="H16:J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A707C-0201-49B1-81FA-4ED346B4EF3B}">
  <dimension ref="A1:S101"/>
  <sheetViews>
    <sheetView topLeftCell="D1" workbookViewId="0">
      <selection activeCell="S53" sqref="S53"/>
    </sheetView>
  </sheetViews>
  <sheetFormatPr defaultRowHeight="15" x14ac:dyDescent="0.25"/>
  <cols>
    <col min="1" max="1" width="26.5703125" style="10" bestFit="1" customWidth="1"/>
    <col min="2" max="2" width="23.28515625" customWidth="1"/>
    <col min="3" max="3" width="30.5703125" customWidth="1"/>
    <col min="4" max="4" width="10.42578125" bestFit="1" customWidth="1"/>
    <col min="5" max="5" width="12" customWidth="1"/>
    <col min="7" max="7" width="12.5703125" bestFit="1" customWidth="1"/>
    <col min="8" max="8" width="14.42578125" customWidth="1"/>
    <col min="10" max="10" width="13.42578125" customWidth="1"/>
    <col min="11" max="11" width="11.7109375" customWidth="1"/>
    <col min="12" max="12" width="22.140625" customWidth="1"/>
    <col min="13" max="13" width="18.28515625" bestFit="1" customWidth="1"/>
    <col min="14" max="14" width="12.28515625" bestFit="1" customWidth="1"/>
    <col min="15" max="15" width="10.42578125" bestFit="1" customWidth="1"/>
    <col min="16" max="16" width="10.7109375" customWidth="1"/>
  </cols>
  <sheetData>
    <row r="1" spans="1:19" x14ac:dyDescent="0.25">
      <c r="A1" s="18" t="s">
        <v>0</v>
      </c>
      <c r="B1" s="1" t="s">
        <v>1</v>
      </c>
      <c r="C1" s="1" t="s">
        <v>32</v>
      </c>
      <c r="D1" s="1" t="s">
        <v>50</v>
      </c>
      <c r="E1" s="1" t="s">
        <v>2</v>
      </c>
      <c r="F1" s="1" t="s">
        <v>33</v>
      </c>
      <c r="G1" s="1" t="s">
        <v>37</v>
      </c>
      <c r="H1" s="1" t="s">
        <v>3</v>
      </c>
      <c r="I1" s="1" t="s">
        <v>51</v>
      </c>
      <c r="J1" s="1" t="s">
        <v>52</v>
      </c>
      <c r="K1" s="1" t="s">
        <v>53</v>
      </c>
      <c r="R1" t="s">
        <v>17</v>
      </c>
      <c r="S1" t="s">
        <v>18</v>
      </c>
    </row>
    <row r="2" spans="1:19" x14ac:dyDescent="0.25">
      <c r="A2" s="24" t="s">
        <v>54</v>
      </c>
      <c r="B2" s="2" t="s">
        <v>55</v>
      </c>
      <c r="C2" s="2" t="s">
        <v>56</v>
      </c>
      <c r="D2" s="26">
        <v>44941</v>
      </c>
      <c r="E2" s="26">
        <v>45641</v>
      </c>
      <c r="F2" s="2">
        <v>700</v>
      </c>
      <c r="G2" s="2">
        <v>498</v>
      </c>
      <c r="H2" s="2" t="s">
        <v>7</v>
      </c>
      <c r="I2" s="2" t="s">
        <v>57</v>
      </c>
      <c r="J2" s="2">
        <v>1</v>
      </c>
      <c r="K2" s="2">
        <v>350000</v>
      </c>
      <c r="L2" s="9" t="s">
        <v>423</v>
      </c>
      <c r="R2" s="7">
        <v>10</v>
      </c>
      <c r="S2" s="8">
        <f>GRADING!C6</f>
        <v>0.02</v>
      </c>
    </row>
    <row r="3" spans="1:19" x14ac:dyDescent="0.25">
      <c r="A3" s="10" t="s">
        <v>58</v>
      </c>
      <c r="B3" s="21"/>
      <c r="C3" s="21"/>
      <c r="D3">
        <v>44958</v>
      </c>
      <c r="E3">
        <v>45382</v>
      </c>
      <c r="F3">
        <v>425</v>
      </c>
      <c r="G3" s="6"/>
      <c r="H3" t="s">
        <v>4</v>
      </c>
      <c r="I3" t="s">
        <v>59</v>
      </c>
      <c r="J3">
        <v>2</v>
      </c>
      <c r="K3">
        <v>420000</v>
      </c>
      <c r="L3" s="9" t="s">
        <v>424</v>
      </c>
      <c r="R3" s="7">
        <v>10</v>
      </c>
      <c r="S3" s="8">
        <f>GRADING!C7</f>
        <v>0.02</v>
      </c>
    </row>
    <row r="4" spans="1:19" x14ac:dyDescent="0.25">
      <c r="A4" s="10" t="s">
        <v>60</v>
      </c>
      <c r="B4" s="21"/>
      <c r="C4" s="21"/>
      <c r="D4">
        <v>44972</v>
      </c>
      <c r="E4">
        <v>45397</v>
      </c>
      <c r="F4">
        <v>426</v>
      </c>
      <c r="G4" s="6"/>
      <c r="H4" t="s">
        <v>5</v>
      </c>
      <c r="I4" t="s">
        <v>61</v>
      </c>
      <c r="J4">
        <v>3</v>
      </c>
      <c r="K4">
        <v>530000</v>
      </c>
      <c r="L4" s="9" t="s">
        <v>425</v>
      </c>
      <c r="R4" s="7">
        <v>10</v>
      </c>
      <c r="S4" s="8">
        <f>GRADING!C8</f>
        <v>0.02</v>
      </c>
    </row>
    <row r="5" spans="1:19" x14ac:dyDescent="0.25">
      <c r="A5" s="10" t="s">
        <v>62</v>
      </c>
      <c r="B5" s="21"/>
      <c r="C5" s="21"/>
      <c r="D5">
        <v>44986</v>
      </c>
      <c r="E5">
        <v>45413</v>
      </c>
      <c r="F5">
        <v>427</v>
      </c>
      <c r="G5" s="6"/>
      <c r="H5" t="s">
        <v>7</v>
      </c>
      <c r="I5" t="s">
        <v>63</v>
      </c>
      <c r="J5">
        <v>4</v>
      </c>
      <c r="K5">
        <v>480000</v>
      </c>
      <c r="L5" s="9" t="s">
        <v>426</v>
      </c>
      <c r="R5" s="7">
        <v>10</v>
      </c>
      <c r="S5" s="8">
        <f>GRADING!C9</f>
        <v>0.02</v>
      </c>
    </row>
    <row r="6" spans="1:19" x14ac:dyDescent="0.25">
      <c r="A6" s="19" t="s">
        <v>64</v>
      </c>
      <c r="B6" s="21"/>
      <c r="C6" s="21"/>
      <c r="D6">
        <v>45000</v>
      </c>
      <c r="E6">
        <v>45427</v>
      </c>
      <c r="F6">
        <v>427</v>
      </c>
      <c r="G6" s="6"/>
      <c r="H6" t="s">
        <v>4</v>
      </c>
      <c r="I6" t="s">
        <v>65</v>
      </c>
      <c r="J6">
        <v>5</v>
      </c>
      <c r="K6">
        <v>620000</v>
      </c>
      <c r="L6" s="9" t="s">
        <v>427</v>
      </c>
      <c r="R6" s="7">
        <v>10</v>
      </c>
      <c r="S6" s="8">
        <f>GRADING!C10</f>
        <v>0.02</v>
      </c>
    </row>
    <row r="7" spans="1:19" x14ac:dyDescent="0.25">
      <c r="A7" s="10" t="s">
        <v>66</v>
      </c>
      <c r="B7" s="21"/>
      <c r="C7" s="21"/>
      <c r="D7">
        <v>45017</v>
      </c>
      <c r="E7">
        <v>45444</v>
      </c>
      <c r="F7">
        <v>427</v>
      </c>
      <c r="G7" s="6"/>
      <c r="H7" t="s">
        <v>5</v>
      </c>
      <c r="I7" t="s">
        <v>67</v>
      </c>
      <c r="J7">
        <v>6</v>
      </c>
      <c r="K7">
        <v>590000</v>
      </c>
    </row>
    <row r="8" spans="1:19" x14ac:dyDescent="0.25">
      <c r="A8" s="10" t="s">
        <v>68</v>
      </c>
      <c r="B8" s="21"/>
      <c r="C8" s="21"/>
      <c r="D8">
        <v>45031</v>
      </c>
      <c r="E8">
        <v>45458</v>
      </c>
      <c r="F8">
        <v>427</v>
      </c>
      <c r="G8" s="6"/>
      <c r="H8" t="s">
        <v>7</v>
      </c>
      <c r="I8" t="s">
        <v>57</v>
      </c>
      <c r="J8">
        <v>7</v>
      </c>
      <c r="K8">
        <v>410000</v>
      </c>
      <c r="M8" s="1" t="s">
        <v>117</v>
      </c>
      <c r="N8" s="1"/>
    </row>
    <row r="9" spans="1:19" x14ac:dyDescent="0.25">
      <c r="A9" s="10" t="s">
        <v>69</v>
      </c>
      <c r="B9" s="21"/>
      <c r="C9" s="21"/>
      <c r="D9">
        <v>45047</v>
      </c>
      <c r="E9">
        <v>45474</v>
      </c>
      <c r="F9">
        <v>427</v>
      </c>
      <c r="G9" s="6"/>
      <c r="H9" t="s">
        <v>4</v>
      </c>
      <c r="I9" t="s">
        <v>59</v>
      </c>
      <c r="J9">
        <v>8</v>
      </c>
      <c r="K9">
        <v>550000</v>
      </c>
      <c r="M9" s="3" t="s">
        <v>118</v>
      </c>
      <c r="N9" s="4" t="s">
        <v>9</v>
      </c>
    </row>
    <row r="10" spans="1:19" x14ac:dyDescent="0.25">
      <c r="A10" s="19" t="s">
        <v>70</v>
      </c>
      <c r="B10" s="21"/>
      <c r="C10" s="21"/>
      <c r="D10">
        <v>45061</v>
      </c>
      <c r="E10">
        <v>45488</v>
      </c>
      <c r="F10">
        <v>427</v>
      </c>
      <c r="G10" s="6"/>
      <c r="H10" t="s">
        <v>5</v>
      </c>
      <c r="I10" t="s">
        <v>61</v>
      </c>
      <c r="J10">
        <v>9</v>
      </c>
      <c r="K10">
        <v>670000</v>
      </c>
      <c r="M10" s="3">
        <v>44927</v>
      </c>
      <c r="N10" s="4" t="s">
        <v>119</v>
      </c>
    </row>
    <row r="11" spans="1:19" x14ac:dyDescent="0.25">
      <c r="A11" s="10" t="s">
        <v>71</v>
      </c>
      <c r="B11" s="21"/>
      <c r="C11" s="21"/>
      <c r="D11">
        <v>45078</v>
      </c>
      <c r="E11">
        <v>45505</v>
      </c>
      <c r="F11">
        <v>427</v>
      </c>
      <c r="G11" s="6"/>
      <c r="H11" t="s">
        <v>7</v>
      </c>
      <c r="I11" t="s">
        <v>63</v>
      </c>
      <c r="J11">
        <v>10</v>
      </c>
      <c r="K11">
        <v>720000</v>
      </c>
      <c r="M11" s="3">
        <v>45075</v>
      </c>
      <c r="N11" s="4" t="s">
        <v>12</v>
      </c>
    </row>
    <row r="12" spans="1:19" x14ac:dyDescent="0.25">
      <c r="A12" s="10" t="s">
        <v>72</v>
      </c>
      <c r="B12" s="21"/>
      <c r="C12" s="21"/>
      <c r="D12">
        <v>45092</v>
      </c>
      <c r="E12">
        <v>45519</v>
      </c>
      <c r="F12">
        <v>427</v>
      </c>
      <c r="G12" s="6"/>
      <c r="H12" t="s">
        <v>4</v>
      </c>
      <c r="I12" t="s">
        <v>65</v>
      </c>
      <c r="J12">
        <v>11</v>
      </c>
      <c r="K12">
        <v>680000</v>
      </c>
      <c r="M12" s="3">
        <v>45111</v>
      </c>
      <c r="N12" s="4" t="s">
        <v>10</v>
      </c>
    </row>
    <row r="13" spans="1:19" x14ac:dyDescent="0.25">
      <c r="A13" s="10" t="s">
        <v>73</v>
      </c>
      <c r="B13" s="21"/>
      <c r="C13" s="21"/>
      <c r="D13">
        <v>45108</v>
      </c>
      <c r="E13">
        <v>45536</v>
      </c>
      <c r="F13">
        <v>428</v>
      </c>
      <c r="G13" s="6"/>
      <c r="H13" t="s">
        <v>5</v>
      </c>
      <c r="I13" t="s">
        <v>67</v>
      </c>
      <c r="J13">
        <v>12</v>
      </c>
      <c r="K13">
        <v>590000</v>
      </c>
      <c r="M13" s="3">
        <v>45173</v>
      </c>
      <c r="N13" s="4" t="s">
        <v>12</v>
      </c>
    </row>
    <row r="14" spans="1:19" x14ac:dyDescent="0.25">
      <c r="A14" s="10" t="s">
        <v>74</v>
      </c>
      <c r="B14" s="21"/>
      <c r="C14" s="21"/>
      <c r="D14">
        <v>45122</v>
      </c>
      <c r="E14">
        <v>45550</v>
      </c>
      <c r="F14">
        <v>428</v>
      </c>
      <c r="G14" s="6"/>
      <c r="H14" t="s">
        <v>7</v>
      </c>
      <c r="I14" t="s">
        <v>57</v>
      </c>
      <c r="J14">
        <v>13</v>
      </c>
      <c r="K14">
        <v>430000</v>
      </c>
      <c r="M14" s="3">
        <v>45253</v>
      </c>
      <c r="N14" s="4" t="s">
        <v>11</v>
      </c>
    </row>
    <row r="15" spans="1:19" x14ac:dyDescent="0.25">
      <c r="A15" s="10" t="s">
        <v>75</v>
      </c>
      <c r="B15" s="21"/>
      <c r="C15" s="21"/>
      <c r="D15">
        <v>45139</v>
      </c>
      <c r="E15">
        <v>45566</v>
      </c>
      <c r="F15">
        <v>427</v>
      </c>
      <c r="G15" s="6"/>
      <c r="H15" t="s">
        <v>4</v>
      </c>
      <c r="I15" t="s">
        <v>59</v>
      </c>
      <c r="J15">
        <v>14</v>
      </c>
      <c r="K15">
        <v>510000</v>
      </c>
      <c r="M15" s="3">
        <v>45285</v>
      </c>
      <c r="N15" s="4" t="s">
        <v>12</v>
      </c>
    </row>
    <row r="16" spans="1:19" x14ac:dyDescent="0.25">
      <c r="A16" s="10" t="s">
        <v>76</v>
      </c>
      <c r="B16" s="21"/>
      <c r="C16" s="21"/>
      <c r="D16">
        <v>45153</v>
      </c>
      <c r="E16">
        <v>45580</v>
      </c>
      <c r="F16">
        <v>427</v>
      </c>
      <c r="G16" s="6"/>
      <c r="H16" t="s">
        <v>5</v>
      </c>
      <c r="I16" t="s">
        <v>61</v>
      </c>
      <c r="J16">
        <v>15</v>
      </c>
      <c r="K16">
        <v>620000</v>
      </c>
      <c r="M16" s="3">
        <v>45292</v>
      </c>
      <c r="N16" s="4" t="s">
        <v>12</v>
      </c>
    </row>
    <row r="17" spans="1:14" x14ac:dyDescent="0.25">
      <c r="A17" s="10" t="s">
        <v>77</v>
      </c>
      <c r="B17" s="21"/>
      <c r="C17" s="21"/>
      <c r="D17">
        <v>45170</v>
      </c>
      <c r="E17">
        <v>45597</v>
      </c>
      <c r="F17">
        <v>427</v>
      </c>
      <c r="G17" s="6"/>
      <c r="H17" t="s">
        <v>7</v>
      </c>
      <c r="I17" t="s">
        <v>63</v>
      </c>
      <c r="J17">
        <v>16</v>
      </c>
      <c r="K17">
        <v>690000</v>
      </c>
      <c r="M17" s="3">
        <v>45306</v>
      </c>
      <c r="N17" s="4" t="s">
        <v>12</v>
      </c>
    </row>
    <row r="18" spans="1:14" x14ac:dyDescent="0.25">
      <c r="A18" s="10" t="s">
        <v>78</v>
      </c>
      <c r="B18" s="21"/>
      <c r="C18" s="21"/>
      <c r="D18">
        <v>45184</v>
      </c>
      <c r="E18">
        <v>45611</v>
      </c>
      <c r="F18">
        <v>427</v>
      </c>
      <c r="G18" s="6"/>
      <c r="H18" t="s">
        <v>4</v>
      </c>
      <c r="I18" t="s">
        <v>65</v>
      </c>
      <c r="J18">
        <v>17</v>
      </c>
      <c r="K18">
        <v>730000</v>
      </c>
      <c r="M18" s="3">
        <v>45341</v>
      </c>
      <c r="N18" s="4" t="s">
        <v>12</v>
      </c>
    </row>
    <row r="19" spans="1:14" x14ac:dyDescent="0.25">
      <c r="A19" s="10" t="s">
        <v>79</v>
      </c>
      <c r="B19" s="21"/>
      <c r="C19" s="21"/>
      <c r="D19">
        <v>45200</v>
      </c>
      <c r="E19">
        <v>45627</v>
      </c>
      <c r="F19">
        <v>427</v>
      </c>
      <c r="G19" s="6"/>
      <c r="H19" t="s">
        <v>5</v>
      </c>
      <c r="I19" t="s">
        <v>67</v>
      </c>
      <c r="J19">
        <v>18</v>
      </c>
      <c r="K19">
        <v>640000</v>
      </c>
      <c r="M19" s="3">
        <v>45439</v>
      </c>
      <c r="N19" s="4" t="s">
        <v>12</v>
      </c>
    </row>
    <row r="20" spans="1:14" x14ac:dyDescent="0.25">
      <c r="A20" s="10" t="s">
        <v>80</v>
      </c>
      <c r="B20" s="21"/>
      <c r="C20" s="21"/>
      <c r="D20">
        <v>45214</v>
      </c>
      <c r="E20">
        <v>45641</v>
      </c>
      <c r="F20">
        <v>427</v>
      </c>
      <c r="G20" s="6"/>
      <c r="H20" t="s">
        <v>7</v>
      </c>
      <c r="I20" t="s">
        <v>57</v>
      </c>
      <c r="J20">
        <v>19</v>
      </c>
      <c r="K20">
        <v>470000</v>
      </c>
      <c r="M20" s="3">
        <v>45477</v>
      </c>
      <c r="N20" s="4" t="s">
        <v>11</v>
      </c>
    </row>
    <row r="21" spans="1:14" x14ac:dyDescent="0.25">
      <c r="A21" s="10" t="s">
        <v>81</v>
      </c>
      <c r="B21" s="21"/>
      <c r="C21" s="21"/>
      <c r="D21">
        <v>45231</v>
      </c>
      <c r="E21">
        <v>45658</v>
      </c>
      <c r="F21">
        <v>427</v>
      </c>
      <c r="G21" s="6"/>
      <c r="H21" t="s">
        <v>4</v>
      </c>
      <c r="I21" t="s">
        <v>59</v>
      </c>
      <c r="J21">
        <v>20</v>
      </c>
      <c r="K21">
        <v>580000</v>
      </c>
      <c r="M21" s="3">
        <v>45537</v>
      </c>
      <c r="N21" s="4" t="s">
        <v>12</v>
      </c>
    </row>
    <row r="22" spans="1:14" x14ac:dyDescent="0.25">
      <c r="A22" s="10" t="s">
        <v>82</v>
      </c>
      <c r="B22" s="21"/>
      <c r="C22" s="21"/>
      <c r="D22">
        <v>45245</v>
      </c>
      <c r="E22">
        <v>45672</v>
      </c>
      <c r="F22">
        <v>427</v>
      </c>
      <c r="G22" s="6"/>
      <c r="H22" t="s">
        <v>5</v>
      </c>
      <c r="I22" t="s">
        <v>61</v>
      </c>
      <c r="J22">
        <v>1</v>
      </c>
      <c r="K22">
        <v>710000</v>
      </c>
      <c r="M22" s="3">
        <v>45607</v>
      </c>
      <c r="N22" s="4" t="s">
        <v>12</v>
      </c>
    </row>
    <row r="23" spans="1:14" x14ac:dyDescent="0.25">
      <c r="A23" s="10" t="s">
        <v>83</v>
      </c>
      <c r="B23" s="21"/>
      <c r="C23" s="21"/>
      <c r="D23">
        <v>45261</v>
      </c>
      <c r="E23">
        <v>45689</v>
      </c>
      <c r="F23">
        <v>428</v>
      </c>
      <c r="G23" s="6"/>
      <c r="H23" t="s">
        <v>7</v>
      </c>
      <c r="I23" t="s">
        <v>63</v>
      </c>
      <c r="J23">
        <v>2</v>
      </c>
      <c r="K23">
        <v>650000</v>
      </c>
      <c r="M23" s="3">
        <v>45624</v>
      </c>
      <c r="N23" s="4" t="s">
        <v>11</v>
      </c>
    </row>
    <row r="24" spans="1:14" x14ac:dyDescent="0.25">
      <c r="A24" s="10" t="s">
        <v>84</v>
      </c>
      <c r="B24" s="21"/>
      <c r="C24" s="21"/>
      <c r="D24">
        <v>45275</v>
      </c>
      <c r="E24">
        <v>45703</v>
      </c>
      <c r="F24">
        <v>428</v>
      </c>
      <c r="G24" s="6"/>
      <c r="H24" t="s">
        <v>4</v>
      </c>
      <c r="I24" t="s">
        <v>65</v>
      </c>
      <c r="J24">
        <v>3</v>
      </c>
      <c r="K24">
        <v>690000</v>
      </c>
      <c r="M24" s="3">
        <v>45651</v>
      </c>
      <c r="N24" s="4" t="s">
        <v>14</v>
      </c>
    </row>
    <row r="25" spans="1:14" x14ac:dyDescent="0.25">
      <c r="A25" s="10" t="s">
        <v>85</v>
      </c>
      <c r="B25" s="21"/>
      <c r="C25" s="21"/>
      <c r="D25">
        <v>45292</v>
      </c>
      <c r="E25">
        <v>45717</v>
      </c>
      <c r="F25">
        <v>426</v>
      </c>
      <c r="G25" s="6"/>
      <c r="H25" t="s">
        <v>5</v>
      </c>
      <c r="I25" t="s">
        <v>67</v>
      </c>
      <c r="J25">
        <v>4</v>
      </c>
      <c r="K25">
        <v>570000</v>
      </c>
      <c r="M25" s="3">
        <v>45658</v>
      </c>
      <c r="N25" s="4" t="s">
        <v>14</v>
      </c>
    </row>
    <row r="26" spans="1:14" x14ac:dyDescent="0.25">
      <c r="A26" s="10" t="s">
        <v>86</v>
      </c>
      <c r="B26" s="21"/>
      <c r="C26" s="21"/>
      <c r="D26">
        <v>45306</v>
      </c>
      <c r="E26">
        <v>45731</v>
      </c>
      <c r="F26">
        <v>426</v>
      </c>
      <c r="G26" s="6"/>
      <c r="H26" t="s">
        <v>7</v>
      </c>
      <c r="I26" t="s">
        <v>57</v>
      </c>
      <c r="J26">
        <v>5</v>
      </c>
      <c r="K26">
        <v>390000</v>
      </c>
      <c r="M26" s="3">
        <v>45677</v>
      </c>
      <c r="N26" s="4" t="s">
        <v>12</v>
      </c>
    </row>
    <row r="27" spans="1:14" x14ac:dyDescent="0.25">
      <c r="A27" s="10" t="s">
        <v>87</v>
      </c>
      <c r="B27" s="21"/>
      <c r="C27" s="21"/>
      <c r="D27">
        <v>45323</v>
      </c>
      <c r="E27">
        <v>45748</v>
      </c>
      <c r="F27">
        <v>426</v>
      </c>
      <c r="G27" s="6"/>
      <c r="H27" t="s">
        <v>4</v>
      </c>
      <c r="I27" t="s">
        <v>59</v>
      </c>
      <c r="J27">
        <v>6</v>
      </c>
      <c r="K27">
        <v>460000</v>
      </c>
      <c r="M27" s="3">
        <v>45705</v>
      </c>
      <c r="N27" s="4" t="s">
        <v>12</v>
      </c>
    </row>
    <row r="28" spans="1:14" x14ac:dyDescent="0.25">
      <c r="A28" s="10" t="s">
        <v>88</v>
      </c>
      <c r="B28" s="21"/>
      <c r="C28" s="21"/>
      <c r="D28">
        <v>45337</v>
      </c>
      <c r="E28">
        <v>45762</v>
      </c>
      <c r="F28">
        <v>426</v>
      </c>
      <c r="G28" s="6"/>
      <c r="H28" t="s">
        <v>5</v>
      </c>
      <c r="I28" t="s">
        <v>61</v>
      </c>
      <c r="J28">
        <v>7</v>
      </c>
      <c r="K28">
        <v>630000</v>
      </c>
      <c r="M28" s="3">
        <v>45803</v>
      </c>
      <c r="N28" s="4" t="s">
        <v>12</v>
      </c>
    </row>
    <row r="29" spans="1:14" x14ac:dyDescent="0.25">
      <c r="A29" s="10" t="s">
        <v>89</v>
      </c>
      <c r="B29" s="21"/>
      <c r="C29" s="21"/>
      <c r="D29">
        <v>45352</v>
      </c>
      <c r="E29">
        <v>45778</v>
      </c>
      <c r="F29">
        <v>427</v>
      </c>
      <c r="G29" s="6"/>
      <c r="H29" t="s">
        <v>7</v>
      </c>
      <c r="I29" t="s">
        <v>63</v>
      </c>
      <c r="J29">
        <v>8</v>
      </c>
      <c r="K29">
        <v>710000</v>
      </c>
      <c r="M29" s="27">
        <v>45842</v>
      </c>
      <c r="N29" t="s">
        <v>13</v>
      </c>
    </row>
    <row r="30" spans="1:14" x14ac:dyDescent="0.25">
      <c r="A30" s="10" t="s">
        <v>90</v>
      </c>
      <c r="B30" s="21"/>
      <c r="C30" s="21"/>
      <c r="D30">
        <v>45366</v>
      </c>
      <c r="E30">
        <v>45792</v>
      </c>
      <c r="F30">
        <v>427</v>
      </c>
      <c r="G30" s="6"/>
      <c r="H30" t="s">
        <v>4</v>
      </c>
      <c r="I30" t="s">
        <v>65</v>
      </c>
      <c r="J30">
        <v>9</v>
      </c>
      <c r="K30">
        <v>640000</v>
      </c>
      <c r="M30" s="27"/>
    </row>
    <row r="31" spans="1:14" x14ac:dyDescent="0.25">
      <c r="A31" s="10" t="s">
        <v>91</v>
      </c>
      <c r="B31" s="21"/>
      <c r="C31" s="21"/>
      <c r="D31">
        <v>45383</v>
      </c>
      <c r="E31">
        <v>45809</v>
      </c>
      <c r="F31">
        <v>427</v>
      </c>
      <c r="G31" s="6"/>
      <c r="H31" t="s">
        <v>5</v>
      </c>
      <c r="I31" t="s">
        <v>67</v>
      </c>
      <c r="J31">
        <v>10</v>
      </c>
      <c r="K31">
        <v>600000</v>
      </c>
      <c r="M31" s="27"/>
    </row>
    <row r="32" spans="1:14" x14ac:dyDescent="0.25">
      <c r="A32" s="10" t="s">
        <v>92</v>
      </c>
      <c r="B32" s="21"/>
      <c r="C32" s="21"/>
      <c r="D32">
        <v>45397</v>
      </c>
      <c r="E32">
        <v>45823</v>
      </c>
      <c r="F32">
        <v>427</v>
      </c>
      <c r="G32" s="6"/>
      <c r="H32" t="s">
        <v>7</v>
      </c>
      <c r="I32" t="s">
        <v>57</v>
      </c>
      <c r="J32">
        <v>11</v>
      </c>
      <c r="K32">
        <v>420000</v>
      </c>
    </row>
    <row r="33" spans="1:19" x14ac:dyDescent="0.25">
      <c r="A33" s="10" t="s">
        <v>93</v>
      </c>
      <c r="B33" s="21"/>
      <c r="C33" s="21"/>
      <c r="D33">
        <v>45413</v>
      </c>
      <c r="E33">
        <v>45839</v>
      </c>
      <c r="F33">
        <v>427</v>
      </c>
      <c r="G33" s="6"/>
      <c r="H33" t="s">
        <v>4</v>
      </c>
      <c r="I33" t="s">
        <v>59</v>
      </c>
      <c r="J33">
        <v>12</v>
      </c>
      <c r="K33">
        <v>490000</v>
      </c>
      <c r="L33" s="9" t="s">
        <v>428</v>
      </c>
      <c r="R33" s="7">
        <v>10</v>
      </c>
      <c r="S33" s="8">
        <f>GRADING!C11</f>
        <v>0.02</v>
      </c>
    </row>
    <row r="34" spans="1:19" x14ac:dyDescent="0.25">
      <c r="A34" s="10" t="s">
        <v>94</v>
      </c>
      <c r="B34" s="21"/>
      <c r="C34" s="21"/>
      <c r="D34">
        <v>45427</v>
      </c>
      <c r="E34">
        <v>45853</v>
      </c>
      <c r="F34">
        <v>427</v>
      </c>
      <c r="G34" s="6"/>
      <c r="H34" t="s">
        <v>5</v>
      </c>
      <c r="I34" t="s">
        <v>61</v>
      </c>
      <c r="J34">
        <v>13</v>
      </c>
      <c r="K34">
        <v>650000</v>
      </c>
      <c r="M34" t="s">
        <v>4</v>
      </c>
      <c r="N34" t="s">
        <v>7</v>
      </c>
      <c r="O34" s="20"/>
    </row>
    <row r="35" spans="1:19" x14ac:dyDescent="0.25">
      <c r="A35" s="10" t="s">
        <v>95</v>
      </c>
      <c r="B35" s="21"/>
      <c r="C35" s="21"/>
      <c r="D35">
        <v>45444</v>
      </c>
      <c r="E35">
        <v>45870</v>
      </c>
      <c r="F35">
        <v>427</v>
      </c>
      <c r="G35" s="6"/>
      <c r="H35" t="s">
        <v>7</v>
      </c>
      <c r="I35" t="s">
        <v>63</v>
      </c>
      <c r="J35">
        <v>14</v>
      </c>
      <c r="K35">
        <v>680000</v>
      </c>
      <c r="L35" s="5" t="str">
        <f>I2</f>
        <v>Mobile</v>
      </c>
      <c r="M35" s="5"/>
      <c r="N35" s="5"/>
      <c r="O35" s="20"/>
    </row>
    <row r="36" spans="1:19" x14ac:dyDescent="0.25">
      <c r="A36" s="10" t="s">
        <v>96</v>
      </c>
      <c r="B36" s="21"/>
      <c r="C36" s="21"/>
      <c r="D36">
        <v>45458</v>
      </c>
      <c r="E36">
        <v>45884</v>
      </c>
      <c r="F36">
        <v>427</v>
      </c>
      <c r="G36" s="6"/>
      <c r="H36" t="s">
        <v>4</v>
      </c>
      <c r="I36" t="s">
        <v>65</v>
      </c>
      <c r="J36">
        <v>15</v>
      </c>
      <c r="K36">
        <v>710000</v>
      </c>
      <c r="L36" s="5" t="str">
        <f>I33</f>
        <v>Web</v>
      </c>
      <c r="M36" s="5"/>
      <c r="N36" s="5"/>
      <c r="O36" s="20"/>
      <c r="P36" s="20"/>
    </row>
    <row r="37" spans="1:19" x14ac:dyDescent="0.25">
      <c r="A37" s="10" t="s">
        <v>97</v>
      </c>
      <c r="B37" s="21"/>
      <c r="C37" s="21"/>
      <c r="D37">
        <v>45474</v>
      </c>
      <c r="E37">
        <v>45901</v>
      </c>
      <c r="F37">
        <v>428</v>
      </c>
      <c r="G37" s="6"/>
      <c r="H37" t="s">
        <v>5</v>
      </c>
      <c r="I37" t="s">
        <v>67</v>
      </c>
      <c r="J37">
        <v>16</v>
      </c>
      <c r="K37">
        <v>620000</v>
      </c>
      <c r="L37" s="5" t="str">
        <f t="shared" ref="L37:L38" si="0">I34</f>
        <v>Game</v>
      </c>
      <c r="M37" s="5"/>
      <c r="N37" s="5"/>
      <c r="O37" s="20"/>
      <c r="P37" s="20"/>
    </row>
    <row r="38" spans="1:19" x14ac:dyDescent="0.25">
      <c r="A38" s="10" t="s">
        <v>98</v>
      </c>
      <c r="B38" s="21"/>
      <c r="C38" s="21"/>
      <c r="D38">
        <v>45488</v>
      </c>
      <c r="E38">
        <v>45915</v>
      </c>
      <c r="F38">
        <v>428</v>
      </c>
      <c r="G38" s="6"/>
      <c r="H38" t="s">
        <v>7</v>
      </c>
      <c r="I38" t="s">
        <v>57</v>
      </c>
      <c r="J38">
        <v>17</v>
      </c>
      <c r="K38">
        <v>440000</v>
      </c>
      <c r="L38" s="5" t="str">
        <f t="shared" si="0"/>
        <v>Data</v>
      </c>
      <c r="M38" s="5"/>
      <c r="N38" s="5"/>
    </row>
    <row r="39" spans="1:19" x14ac:dyDescent="0.25">
      <c r="A39" s="10" t="s">
        <v>99</v>
      </c>
      <c r="B39" s="21"/>
      <c r="C39" s="21"/>
      <c r="D39">
        <v>45505</v>
      </c>
      <c r="E39">
        <v>45931</v>
      </c>
      <c r="F39">
        <v>427</v>
      </c>
      <c r="G39" s="6"/>
      <c r="H39" t="s">
        <v>4</v>
      </c>
      <c r="I39" t="s">
        <v>59</v>
      </c>
      <c r="J39">
        <v>18</v>
      </c>
      <c r="K39">
        <v>520000</v>
      </c>
      <c r="L39" s="5" t="s">
        <v>65</v>
      </c>
      <c r="M39" s="5"/>
      <c r="N39" s="5"/>
    </row>
    <row r="40" spans="1:19" x14ac:dyDescent="0.25">
      <c r="A40" s="10" t="s">
        <v>100</v>
      </c>
      <c r="B40" s="21"/>
      <c r="C40" s="21"/>
      <c r="D40">
        <v>45519</v>
      </c>
      <c r="E40">
        <v>45945</v>
      </c>
      <c r="F40">
        <v>427</v>
      </c>
      <c r="G40" s="6"/>
      <c r="H40" t="s">
        <v>5</v>
      </c>
      <c r="I40" t="s">
        <v>61</v>
      </c>
      <c r="J40">
        <v>19</v>
      </c>
      <c r="K40">
        <v>640000</v>
      </c>
      <c r="L40" s="5" t="s">
        <v>67</v>
      </c>
      <c r="M40" s="5"/>
      <c r="N40" s="5"/>
    </row>
    <row r="41" spans="1:19" x14ac:dyDescent="0.25">
      <c r="A41" s="10" t="s">
        <v>101</v>
      </c>
      <c r="B41" s="21"/>
      <c r="C41" s="21"/>
      <c r="D41">
        <v>45536</v>
      </c>
      <c r="E41">
        <v>45962</v>
      </c>
      <c r="F41">
        <v>427</v>
      </c>
      <c r="G41" s="6"/>
      <c r="H41" t="s">
        <v>7</v>
      </c>
      <c r="I41" t="s">
        <v>63</v>
      </c>
      <c r="J41">
        <v>20</v>
      </c>
      <c r="K41">
        <v>700000</v>
      </c>
      <c r="L41" s="20"/>
      <c r="M41" s="20"/>
      <c r="N41" s="20"/>
    </row>
    <row r="42" spans="1:19" x14ac:dyDescent="0.25">
      <c r="A42" s="10" t="s">
        <v>102</v>
      </c>
      <c r="B42" s="21"/>
      <c r="C42" s="21"/>
      <c r="D42">
        <v>45550</v>
      </c>
      <c r="E42">
        <v>45976</v>
      </c>
      <c r="F42">
        <v>427</v>
      </c>
      <c r="G42" s="6"/>
      <c r="H42" t="s">
        <v>4</v>
      </c>
      <c r="I42" t="s">
        <v>65</v>
      </c>
      <c r="J42">
        <v>1</v>
      </c>
      <c r="K42">
        <v>750000</v>
      </c>
      <c r="L42" s="20"/>
      <c r="M42" s="20"/>
      <c r="N42" s="20"/>
    </row>
    <row r="43" spans="1:19" x14ac:dyDescent="0.25">
      <c r="A43" s="10" t="s">
        <v>103</v>
      </c>
      <c r="B43" s="21"/>
      <c r="C43" s="21"/>
      <c r="D43">
        <v>45566</v>
      </c>
      <c r="E43">
        <v>45992</v>
      </c>
      <c r="F43">
        <v>427</v>
      </c>
      <c r="G43" s="6"/>
      <c r="H43" t="s">
        <v>5</v>
      </c>
      <c r="I43" t="s">
        <v>67</v>
      </c>
      <c r="J43">
        <v>2</v>
      </c>
      <c r="K43">
        <v>630000</v>
      </c>
    </row>
    <row r="44" spans="1:19" x14ac:dyDescent="0.25">
      <c r="A44" s="10" t="s">
        <v>104</v>
      </c>
      <c r="B44" s="21"/>
      <c r="C44" s="21"/>
      <c r="D44">
        <v>45580</v>
      </c>
      <c r="E44">
        <v>46006</v>
      </c>
      <c r="F44">
        <v>427</v>
      </c>
      <c r="G44" s="6"/>
      <c r="H44" t="s">
        <v>7</v>
      </c>
      <c r="I44" t="s">
        <v>57</v>
      </c>
      <c r="J44">
        <v>3</v>
      </c>
      <c r="K44">
        <v>410000</v>
      </c>
      <c r="L44" s="9" t="s">
        <v>429</v>
      </c>
    </row>
    <row r="45" spans="1:19" x14ac:dyDescent="0.25">
      <c r="A45" s="10" t="s">
        <v>105</v>
      </c>
      <c r="B45" s="21"/>
      <c r="C45" s="21"/>
      <c r="D45">
        <v>45597</v>
      </c>
      <c r="E45">
        <v>46023</v>
      </c>
      <c r="F45">
        <v>427</v>
      </c>
      <c r="G45" s="6"/>
      <c r="H45" t="s">
        <v>4</v>
      </c>
      <c r="I45" t="s">
        <v>59</v>
      </c>
      <c r="J45">
        <v>4</v>
      </c>
      <c r="K45">
        <v>540000</v>
      </c>
      <c r="L45" t="s">
        <v>34</v>
      </c>
      <c r="M45" s="6"/>
      <c r="R45" s="7">
        <v>10</v>
      </c>
      <c r="S45" s="8">
        <f>GRADING!C12</f>
        <v>0.02</v>
      </c>
    </row>
    <row r="46" spans="1:19" x14ac:dyDescent="0.25">
      <c r="A46" s="10" t="s">
        <v>106</v>
      </c>
      <c r="B46" s="21"/>
      <c r="C46" s="21"/>
      <c r="D46">
        <v>45611</v>
      </c>
      <c r="E46">
        <v>46037</v>
      </c>
      <c r="F46">
        <v>427</v>
      </c>
      <c r="G46" s="6"/>
      <c r="H46" t="s">
        <v>5</v>
      </c>
      <c r="I46" t="s">
        <v>61</v>
      </c>
      <c r="J46">
        <v>5</v>
      </c>
      <c r="K46">
        <v>680000</v>
      </c>
      <c r="L46" t="s">
        <v>3</v>
      </c>
      <c r="M46" s="6"/>
    </row>
    <row r="47" spans="1:19" x14ac:dyDescent="0.25">
      <c r="A47" s="10" t="s">
        <v>107</v>
      </c>
      <c r="B47" s="21"/>
      <c r="C47" s="21"/>
      <c r="D47">
        <v>45627</v>
      </c>
      <c r="E47">
        <v>46054</v>
      </c>
      <c r="F47">
        <v>428</v>
      </c>
      <c r="G47" s="6"/>
      <c r="H47" t="s">
        <v>7</v>
      </c>
      <c r="I47" t="s">
        <v>63</v>
      </c>
      <c r="J47">
        <v>6</v>
      </c>
      <c r="K47">
        <v>730000</v>
      </c>
    </row>
    <row r="48" spans="1:19" x14ac:dyDescent="0.25">
      <c r="A48" s="10" t="s">
        <v>108</v>
      </c>
      <c r="B48" s="21"/>
      <c r="C48" s="21"/>
      <c r="D48">
        <v>45641</v>
      </c>
      <c r="E48">
        <v>46068</v>
      </c>
      <c r="F48">
        <v>428</v>
      </c>
      <c r="G48" s="6"/>
      <c r="H48" t="s">
        <v>4</v>
      </c>
      <c r="I48" t="s">
        <v>65</v>
      </c>
      <c r="J48">
        <v>7</v>
      </c>
      <c r="K48">
        <v>760000</v>
      </c>
      <c r="L48" s="9" t="s">
        <v>430</v>
      </c>
      <c r="R48" s="7">
        <v>10</v>
      </c>
      <c r="S48" s="8">
        <f>GRADING!C13</f>
        <v>0.04</v>
      </c>
    </row>
    <row r="49" spans="1:19" x14ac:dyDescent="0.25">
      <c r="A49" s="10" t="s">
        <v>109</v>
      </c>
      <c r="B49" s="21"/>
      <c r="C49" s="21"/>
      <c r="D49">
        <v>45658</v>
      </c>
      <c r="E49">
        <v>46082</v>
      </c>
      <c r="F49">
        <v>425</v>
      </c>
      <c r="G49" s="6"/>
      <c r="H49" t="s">
        <v>5</v>
      </c>
      <c r="I49" t="s">
        <v>67</v>
      </c>
      <c r="J49">
        <v>8</v>
      </c>
      <c r="K49">
        <v>650000</v>
      </c>
    </row>
    <row r="50" spans="1:19" x14ac:dyDescent="0.25">
      <c r="A50" s="10" t="s">
        <v>110</v>
      </c>
      <c r="B50" s="21"/>
      <c r="C50" s="21"/>
      <c r="D50">
        <v>45672</v>
      </c>
      <c r="E50">
        <v>46096</v>
      </c>
      <c r="F50">
        <v>425</v>
      </c>
      <c r="G50" s="6"/>
      <c r="H50" t="s">
        <v>7</v>
      </c>
      <c r="I50" t="s">
        <v>57</v>
      </c>
      <c r="J50">
        <v>9</v>
      </c>
      <c r="K50">
        <v>430000</v>
      </c>
    </row>
    <row r="51" spans="1:19" x14ac:dyDescent="0.25">
      <c r="A51" s="10" t="s">
        <v>111</v>
      </c>
      <c r="B51" s="21"/>
      <c r="C51" s="21"/>
      <c r="D51">
        <v>45689</v>
      </c>
      <c r="E51">
        <v>46113</v>
      </c>
      <c r="F51">
        <v>425</v>
      </c>
      <c r="G51" s="6"/>
      <c r="H51" t="s">
        <v>4</v>
      </c>
      <c r="I51" t="s">
        <v>59</v>
      </c>
      <c r="J51">
        <v>10</v>
      </c>
      <c r="K51">
        <v>560000</v>
      </c>
    </row>
    <row r="52" spans="1:19" x14ac:dyDescent="0.25">
      <c r="A52" s="10" t="s">
        <v>112</v>
      </c>
      <c r="B52" s="21"/>
      <c r="C52" s="21"/>
      <c r="D52">
        <v>45703</v>
      </c>
      <c r="E52">
        <v>46127</v>
      </c>
      <c r="F52">
        <v>425</v>
      </c>
      <c r="G52" s="6"/>
      <c r="H52" t="s">
        <v>5</v>
      </c>
      <c r="I52" t="s">
        <v>61</v>
      </c>
      <c r="J52">
        <v>11</v>
      </c>
      <c r="K52">
        <v>690000</v>
      </c>
      <c r="L52" s="9" t="s">
        <v>431</v>
      </c>
      <c r="R52" s="7">
        <v>10</v>
      </c>
      <c r="S52" s="8">
        <f>GRADING!C14</f>
        <v>0.04</v>
      </c>
    </row>
    <row r="53" spans="1:19" x14ac:dyDescent="0.25">
      <c r="A53" s="10" t="s">
        <v>113</v>
      </c>
      <c r="B53" s="21"/>
      <c r="C53" s="21"/>
      <c r="D53">
        <v>45717</v>
      </c>
      <c r="E53">
        <v>46143</v>
      </c>
      <c r="F53">
        <v>427</v>
      </c>
      <c r="G53" s="6"/>
      <c r="H53" t="s">
        <v>7</v>
      </c>
      <c r="I53" t="s">
        <v>63</v>
      </c>
      <c r="J53">
        <v>12</v>
      </c>
      <c r="K53">
        <v>750000</v>
      </c>
      <c r="M53" s="6"/>
    </row>
    <row r="54" spans="1:19" x14ac:dyDescent="0.25">
      <c r="A54" s="10" t="s">
        <v>114</v>
      </c>
      <c r="B54" s="21"/>
      <c r="C54" s="21"/>
      <c r="D54">
        <v>45731</v>
      </c>
      <c r="E54">
        <v>46157</v>
      </c>
      <c r="F54">
        <v>427</v>
      </c>
      <c r="G54" s="6"/>
      <c r="H54" t="s">
        <v>4</v>
      </c>
      <c r="I54" t="s">
        <v>65</v>
      </c>
      <c r="J54">
        <v>13</v>
      </c>
      <c r="K54">
        <v>780000</v>
      </c>
      <c r="L54" s="9" t="s">
        <v>432</v>
      </c>
      <c r="R54" s="63">
        <v>10</v>
      </c>
      <c r="S54" s="64">
        <f>GRADING!C15</f>
        <v>0.03</v>
      </c>
    </row>
    <row r="55" spans="1:19" x14ac:dyDescent="0.25">
      <c r="A55" s="10" t="s">
        <v>115</v>
      </c>
      <c r="B55" s="21"/>
      <c r="C55" s="21"/>
      <c r="D55">
        <v>45748</v>
      </c>
      <c r="E55">
        <v>46174</v>
      </c>
      <c r="F55">
        <v>427</v>
      </c>
      <c r="G55" s="6"/>
      <c r="H55" t="s">
        <v>5</v>
      </c>
      <c r="I55" t="s">
        <v>67</v>
      </c>
      <c r="J55">
        <v>14</v>
      </c>
      <c r="K55">
        <v>640000</v>
      </c>
    </row>
    <row r="56" spans="1:19" x14ac:dyDescent="0.25">
      <c r="A56" s="10" t="s">
        <v>116</v>
      </c>
      <c r="B56" s="21"/>
      <c r="C56" s="21"/>
      <c r="D56">
        <v>45762</v>
      </c>
      <c r="E56">
        <v>46188</v>
      </c>
      <c r="F56">
        <v>427</v>
      </c>
      <c r="G56" s="6"/>
      <c r="H56" t="s">
        <v>7</v>
      </c>
      <c r="I56" t="s">
        <v>57</v>
      </c>
      <c r="J56">
        <v>15</v>
      </c>
      <c r="K56">
        <v>450000</v>
      </c>
    </row>
    <row r="57" spans="1:19" x14ac:dyDescent="0.25">
      <c r="B57" s="17"/>
      <c r="C57" s="21"/>
    </row>
    <row r="58" spans="1:19" x14ac:dyDescent="0.25">
      <c r="B58" s="17"/>
      <c r="C58" s="21"/>
    </row>
    <row r="59" spans="1:19" x14ac:dyDescent="0.25">
      <c r="B59" s="17"/>
      <c r="C59" s="21"/>
    </row>
    <row r="60" spans="1:19" x14ac:dyDescent="0.25">
      <c r="B60" s="17"/>
      <c r="C60" s="21"/>
    </row>
    <row r="61" spans="1:19" x14ac:dyDescent="0.25">
      <c r="B61" s="17"/>
      <c r="C61" s="21"/>
    </row>
    <row r="62" spans="1:19" x14ac:dyDescent="0.25">
      <c r="B62" s="17"/>
      <c r="C62" s="21"/>
    </row>
    <row r="63" spans="1:19" x14ac:dyDescent="0.25">
      <c r="B63" s="17"/>
      <c r="C63" s="21"/>
    </row>
    <row r="64" spans="1:19" x14ac:dyDescent="0.25">
      <c r="B64" s="17"/>
      <c r="C64" s="21"/>
    </row>
    <row r="65" spans="2:3" x14ac:dyDescent="0.25">
      <c r="B65" s="17"/>
      <c r="C65" s="21"/>
    </row>
    <row r="66" spans="2:3" x14ac:dyDescent="0.25">
      <c r="B66" s="17"/>
      <c r="C66" s="21"/>
    </row>
    <row r="67" spans="2:3" x14ac:dyDescent="0.25">
      <c r="B67" s="17"/>
      <c r="C67" s="21"/>
    </row>
    <row r="68" spans="2:3" x14ac:dyDescent="0.25">
      <c r="B68" s="17"/>
      <c r="C68" s="21"/>
    </row>
    <row r="69" spans="2:3" x14ac:dyDescent="0.25">
      <c r="B69" s="17"/>
      <c r="C69" s="21"/>
    </row>
    <row r="70" spans="2:3" x14ac:dyDescent="0.25">
      <c r="B70" s="17"/>
      <c r="C70" s="21"/>
    </row>
    <row r="71" spans="2:3" x14ac:dyDescent="0.25">
      <c r="B71" s="17"/>
      <c r="C71" s="21"/>
    </row>
    <row r="72" spans="2:3" x14ac:dyDescent="0.25">
      <c r="B72" s="17"/>
      <c r="C72" s="21"/>
    </row>
    <row r="73" spans="2:3" x14ac:dyDescent="0.25">
      <c r="B73" s="17"/>
      <c r="C73" s="21"/>
    </row>
    <row r="74" spans="2:3" x14ac:dyDescent="0.25">
      <c r="B74" s="17"/>
      <c r="C74" s="21"/>
    </row>
    <row r="75" spans="2:3" x14ac:dyDescent="0.25">
      <c r="B75" s="17"/>
      <c r="C75" s="21"/>
    </row>
    <row r="76" spans="2:3" x14ac:dyDescent="0.25">
      <c r="B76" s="17"/>
      <c r="C76" s="21"/>
    </row>
    <row r="77" spans="2:3" x14ac:dyDescent="0.25">
      <c r="B77" s="17"/>
      <c r="C77" s="21"/>
    </row>
    <row r="78" spans="2:3" x14ac:dyDescent="0.25">
      <c r="B78" s="17"/>
      <c r="C78" s="21"/>
    </row>
    <row r="79" spans="2:3" x14ac:dyDescent="0.25">
      <c r="B79" s="17"/>
      <c r="C79" s="21"/>
    </row>
    <row r="80" spans="2:3" x14ac:dyDescent="0.25">
      <c r="B80" s="17"/>
      <c r="C80" s="21"/>
    </row>
    <row r="81" spans="2:3" x14ac:dyDescent="0.25">
      <c r="B81" s="17"/>
      <c r="C81" s="21"/>
    </row>
    <row r="82" spans="2:3" x14ac:dyDescent="0.25">
      <c r="B82" s="17"/>
      <c r="C82" s="21"/>
    </row>
    <row r="83" spans="2:3" x14ac:dyDescent="0.25">
      <c r="B83" s="17"/>
      <c r="C83" s="21"/>
    </row>
    <row r="84" spans="2:3" x14ac:dyDescent="0.25">
      <c r="B84" s="17"/>
      <c r="C84" s="21"/>
    </row>
    <row r="85" spans="2:3" x14ac:dyDescent="0.25">
      <c r="B85" s="17"/>
      <c r="C85" s="21"/>
    </row>
    <row r="86" spans="2:3" x14ac:dyDescent="0.25">
      <c r="B86" s="17"/>
      <c r="C86" s="21"/>
    </row>
    <row r="87" spans="2:3" x14ac:dyDescent="0.25">
      <c r="B87" s="17"/>
      <c r="C87" s="21"/>
    </row>
    <row r="88" spans="2:3" x14ac:dyDescent="0.25">
      <c r="B88" s="17"/>
      <c r="C88" s="21"/>
    </row>
    <row r="89" spans="2:3" x14ac:dyDescent="0.25">
      <c r="B89" s="17"/>
      <c r="C89" s="21"/>
    </row>
    <row r="90" spans="2:3" x14ac:dyDescent="0.25">
      <c r="B90" s="17"/>
      <c r="C90" s="21"/>
    </row>
    <row r="91" spans="2:3" x14ac:dyDescent="0.25">
      <c r="B91" s="17"/>
      <c r="C91" s="21"/>
    </row>
    <row r="92" spans="2:3" x14ac:dyDescent="0.25">
      <c r="B92" s="17"/>
      <c r="C92" s="21"/>
    </row>
    <row r="93" spans="2:3" x14ac:dyDescent="0.25">
      <c r="B93" s="17"/>
      <c r="C93" s="21"/>
    </row>
    <row r="94" spans="2:3" x14ac:dyDescent="0.25">
      <c r="B94" s="17"/>
      <c r="C94" s="21"/>
    </row>
    <row r="95" spans="2:3" x14ac:dyDescent="0.25">
      <c r="B95" s="17"/>
      <c r="C95" s="21"/>
    </row>
    <row r="96" spans="2:3" x14ac:dyDescent="0.25">
      <c r="B96" s="17"/>
      <c r="C96" s="21"/>
    </row>
    <row r="97" spans="2:4" x14ac:dyDescent="0.25">
      <c r="B97" s="17"/>
      <c r="C97" s="21"/>
    </row>
    <row r="98" spans="2:4" x14ac:dyDescent="0.25">
      <c r="B98" s="17"/>
      <c r="C98" s="21"/>
    </row>
    <row r="99" spans="2:4" x14ac:dyDescent="0.25">
      <c r="B99" s="17"/>
      <c r="C99" s="21"/>
    </row>
    <row r="100" spans="2:4" x14ac:dyDescent="0.25">
      <c r="B100" s="17"/>
      <c r="C100" s="21"/>
    </row>
    <row r="101" spans="2:4" x14ac:dyDescent="0.25">
      <c r="D101" s="25"/>
    </row>
  </sheetData>
  <phoneticPr fontId="9" type="noConversion"/>
  <hyperlinks>
    <hyperlink ref="A2" r:id="rId1" display="MU_0001@  PopColle﻿ction" xr:uid="{F2036B62-3CB3-4563-8AEE-CEDB3F344CF3}"/>
    <hyperlink ref="A6" r:id="rId2" display="MU_0005@ EDMCollectio‍n" xr:uid="{6832AF91-8E93-41D5-A985-F0903D7FD0C6}"/>
    <hyperlink ref="A10" r:id="rId3" display="MU_0009@   Folk​Collection" xr:uid="{AA8FC5D8-FC9D-446D-833D-173871F901F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4ACCE-A1BE-4FC4-AD0A-E0FBF80B88C8}">
  <dimension ref="A1:AC46"/>
  <sheetViews>
    <sheetView topLeftCell="A2" workbookViewId="0">
      <selection activeCell="AA18" sqref="AA18"/>
    </sheetView>
  </sheetViews>
  <sheetFormatPr defaultRowHeight="15" x14ac:dyDescent="0.25"/>
  <cols>
    <col min="1" max="1" width="10" bestFit="1" customWidth="1"/>
    <col min="9" max="9" width="8.140625" bestFit="1" customWidth="1"/>
    <col min="10" max="10" width="10" bestFit="1" customWidth="1"/>
    <col min="12" max="12" width="12.42578125" bestFit="1" customWidth="1"/>
    <col min="13" max="13" width="14.140625" bestFit="1" customWidth="1"/>
    <col min="16" max="16" width="12" bestFit="1" customWidth="1"/>
    <col min="17" max="17" width="15.85546875" bestFit="1" customWidth="1"/>
    <col min="18" max="18" width="23.140625" bestFit="1" customWidth="1"/>
    <col min="19" max="19" width="15.140625" bestFit="1" customWidth="1"/>
    <col min="21" max="21" width="14.42578125" bestFit="1" customWidth="1"/>
  </cols>
  <sheetData>
    <row r="1" spans="1:29" x14ac:dyDescent="0.25">
      <c r="A1" t="s">
        <v>400</v>
      </c>
      <c r="I1" t="s">
        <v>401</v>
      </c>
      <c r="J1" t="s">
        <v>404</v>
      </c>
      <c r="P1" t="s">
        <v>398</v>
      </c>
    </row>
    <row r="2" spans="1:29" x14ac:dyDescent="0.25">
      <c r="A2" s="1" t="s">
        <v>123</v>
      </c>
      <c r="B2" s="1" t="s">
        <v>124</v>
      </c>
      <c r="C2" s="1" t="s">
        <v>51</v>
      </c>
      <c r="D2" s="1" t="s">
        <v>125</v>
      </c>
      <c r="E2" s="1" t="s">
        <v>126</v>
      </c>
      <c r="F2" s="1" t="s">
        <v>3</v>
      </c>
      <c r="I2" s="1" t="s">
        <v>162</v>
      </c>
      <c r="J2" s="1" t="s">
        <v>123</v>
      </c>
      <c r="K2" s="1" t="s">
        <v>163</v>
      </c>
      <c r="L2" s="1" t="s">
        <v>164</v>
      </c>
      <c r="M2" s="1" t="s">
        <v>165</v>
      </c>
      <c r="N2" s="1" t="s">
        <v>166</v>
      </c>
      <c r="P2" s="1" t="s">
        <v>216</v>
      </c>
      <c r="Q2" s="1" t="s">
        <v>217</v>
      </c>
      <c r="R2" s="1" t="s">
        <v>32</v>
      </c>
      <c r="S2" s="1" t="s">
        <v>16</v>
      </c>
      <c r="T2" s="1" t="s">
        <v>218</v>
      </c>
      <c r="U2" s="1" t="s">
        <v>219</v>
      </c>
      <c r="X2" t="s">
        <v>396</v>
      </c>
    </row>
    <row r="3" spans="1:29" x14ac:dyDescent="0.25">
      <c r="A3" s="4" t="s">
        <v>127</v>
      </c>
      <c r="B3" s="4" t="s">
        <v>128</v>
      </c>
      <c r="C3" s="4" t="s">
        <v>129</v>
      </c>
      <c r="D3" s="4">
        <v>1299.99</v>
      </c>
      <c r="E3" s="4">
        <v>45</v>
      </c>
      <c r="F3" s="4" t="s">
        <v>4</v>
      </c>
      <c r="I3" s="4" t="s">
        <v>167</v>
      </c>
      <c r="J3" s="4" t="s">
        <v>127</v>
      </c>
      <c r="K3" s="4">
        <v>2</v>
      </c>
      <c r="L3" s="4" t="s">
        <v>168</v>
      </c>
      <c r="M3" s="4" t="s">
        <v>169</v>
      </c>
      <c r="N3" s="4">
        <v>2599.98</v>
      </c>
      <c r="P3" s="4" t="s">
        <v>220</v>
      </c>
      <c r="Q3" s="4" t="s">
        <v>221</v>
      </c>
      <c r="R3" s="4" t="s">
        <v>222</v>
      </c>
      <c r="S3" s="4" t="s">
        <v>223</v>
      </c>
      <c r="T3" s="4" t="s">
        <v>224</v>
      </c>
      <c r="U3" s="4" t="s">
        <v>225</v>
      </c>
      <c r="X3" s="1" t="s">
        <v>324</v>
      </c>
      <c r="Y3" s="1" t="s">
        <v>162</v>
      </c>
      <c r="Z3" s="1" t="s">
        <v>325</v>
      </c>
      <c r="AA3" s="1" t="s">
        <v>326</v>
      </c>
      <c r="AB3" s="1" t="s">
        <v>327</v>
      </c>
      <c r="AC3" s="1" t="s">
        <v>328</v>
      </c>
    </row>
    <row r="4" spans="1:29" x14ac:dyDescent="0.25">
      <c r="A4" s="4" t="s">
        <v>130</v>
      </c>
      <c r="B4" s="4" t="s">
        <v>131</v>
      </c>
      <c r="C4" s="4" t="s">
        <v>132</v>
      </c>
      <c r="D4" s="4">
        <v>249.99</v>
      </c>
      <c r="E4" s="4">
        <v>120</v>
      </c>
      <c r="F4" s="4" t="s">
        <v>4</v>
      </c>
      <c r="I4" s="4" t="s">
        <v>170</v>
      </c>
      <c r="J4" s="4" t="s">
        <v>133</v>
      </c>
      <c r="K4" s="4">
        <v>5</v>
      </c>
      <c r="L4" s="4" t="s">
        <v>171</v>
      </c>
      <c r="M4" s="4" t="s">
        <v>172</v>
      </c>
      <c r="N4" s="4">
        <v>899.95</v>
      </c>
      <c r="P4" s="4" t="s">
        <v>226</v>
      </c>
      <c r="Q4" s="4" t="s">
        <v>227</v>
      </c>
      <c r="R4" s="4" t="s">
        <v>228</v>
      </c>
      <c r="S4" s="4" t="s">
        <v>20</v>
      </c>
      <c r="T4" s="4" t="s">
        <v>229</v>
      </c>
      <c r="U4" s="4" t="s">
        <v>230</v>
      </c>
      <c r="X4" s="4" t="s">
        <v>329</v>
      </c>
      <c r="Y4" s="4" t="s">
        <v>167</v>
      </c>
      <c r="Z4" s="59" t="s">
        <v>169</v>
      </c>
      <c r="AA4" s="59" t="s">
        <v>185</v>
      </c>
      <c r="AB4" s="59" t="s">
        <v>183</v>
      </c>
      <c r="AC4" s="4" t="s">
        <v>330</v>
      </c>
    </row>
    <row r="5" spans="1:29" x14ac:dyDescent="0.25">
      <c r="A5" s="4" t="s">
        <v>133</v>
      </c>
      <c r="B5" s="4" t="s">
        <v>134</v>
      </c>
      <c r="C5" s="4" t="s">
        <v>129</v>
      </c>
      <c r="D5" s="4">
        <v>179.99</v>
      </c>
      <c r="E5" s="4">
        <v>78</v>
      </c>
      <c r="F5" s="4" t="s">
        <v>4</v>
      </c>
      <c r="I5" s="4" t="s">
        <v>173</v>
      </c>
      <c r="J5" s="4" t="s">
        <v>138</v>
      </c>
      <c r="K5" s="4">
        <v>3</v>
      </c>
      <c r="L5" s="4" t="s">
        <v>174</v>
      </c>
      <c r="M5" s="4" t="s">
        <v>175</v>
      </c>
      <c r="N5" s="4">
        <v>269.97000000000003</v>
      </c>
      <c r="P5" s="4" t="s">
        <v>231</v>
      </c>
      <c r="Q5" s="4" t="s">
        <v>232</v>
      </c>
      <c r="R5" s="4" t="s">
        <v>233</v>
      </c>
      <c r="S5" s="4" t="s">
        <v>234</v>
      </c>
      <c r="T5" s="4" t="s">
        <v>235</v>
      </c>
      <c r="U5" s="4" t="s">
        <v>230</v>
      </c>
      <c r="X5" s="4" t="s">
        <v>331</v>
      </c>
      <c r="Y5" s="4" t="s">
        <v>170</v>
      </c>
      <c r="Z5" s="59" t="s">
        <v>172</v>
      </c>
      <c r="AA5" s="59" t="s">
        <v>187</v>
      </c>
      <c r="AB5" s="59" t="s">
        <v>187</v>
      </c>
      <c r="AC5" s="4" t="s">
        <v>332</v>
      </c>
    </row>
    <row r="6" spans="1:29" x14ac:dyDescent="0.25">
      <c r="A6" s="4" t="s">
        <v>135</v>
      </c>
      <c r="B6" s="4" t="s">
        <v>136</v>
      </c>
      <c r="C6" s="4" t="s">
        <v>137</v>
      </c>
      <c r="D6" s="4">
        <v>39.99</v>
      </c>
      <c r="E6" s="4">
        <v>210</v>
      </c>
      <c r="F6" s="4" t="s">
        <v>4</v>
      </c>
      <c r="I6" s="4" t="s">
        <v>176</v>
      </c>
      <c r="J6" s="4" t="s">
        <v>153</v>
      </c>
      <c r="K6" s="4">
        <v>4</v>
      </c>
      <c r="L6" s="4" t="s">
        <v>169</v>
      </c>
      <c r="M6" s="4" t="s">
        <v>177</v>
      </c>
      <c r="N6" s="4">
        <v>999.96</v>
      </c>
      <c r="P6" s="4" t="s">
        <v>236</v>
      </c>
      <c r="Q6" s="4" t="s">
        <v>237</v>
      </c>
      <c r="R6" s="4" t="s">
        <v>238</v>
      </c>
      <c r="S6" s="4" t="s">
        <v>239</v>
      </c>
      <c r="T6" s="4" t="s">
        <v>240</v>
      </c>
      <c r="U6" s="4" t="s">
        <v>225</v>
      </c>
      <c r="X6" s="4" t="s">
        <v>333</v>
      </c>
      <c r="Y6" s="4" t="s">
        <v>173</v>
      </c>
      <c r="Z6" s="59" t="s">
        <v>175</v>
      </c>
      <c r="AA6" s="59" t="s">
        <v>189</v>
      </c>
      <c r="AB6" s="59" t="s">
        <v>334</v>
      </c>
      <c r="AC6" s="4" t="s">
        <v>335</v>
      </c>
    </row>
    <row r="7" spans="1:29" x14ac:dyDescent="0.25">
      <c r="A7" s="4" t="s">
        <v>138</v>
      </c>
      <c r="B7" s="4" t="s">
        <v>139</v>
      </c>
      <c r="C7" s="4" t="s">
        <v>140</v>
      </c>
      <c r="D7" s="4">
        <v>89.99</v>
      </c>
      <c r="E7" s="4">
        <v>65</v>
      </c>
      <c r="F7" s="4" t="s">
        <v>4</v>
      </c>
      <c r="I7" s="4" t="s">
        <v>178</v>
      </c>
      <c r="J7" s="4" t="s">
        <v>145</v>
      </c>
      <c r="K7" s="4">
        <v>1</v>
      </c>
      <c r="L7" s="4" t="s">
        <v>172</v>
      </c>
      <c r="M7" s="4" t="s">
        <v>179</v>
      </c>
      <c r="N7" s="4">
        <v>149.99</v>
      </c>
      <c r="P7" s="4" t="s">
        <v>241</v>
      </c>
      <c r="Q7" s="4" t="s">
        <v>242</v>
      </c>
      <c r="R7" s="4" t="s">
        <v>243</v>
      </c>
      <c r="S7" s="4" t="s">
        <v>39</v>
      </c>
      <c r="T7" s="4" t="s">
        <v>244</v>
      </c>
      <c r="U7" s="4" t="s">
        <v>225</v>
      </c>
      <c r="X7" s="4" t="s">
        <v>336</v>
      </c>
      <c r="Y7" s="4" t="s">
        <v>176</v>
      </c>
      <c r="Z7" s="59" t="s">
        <v>177</v>
      </c>
      <c r="AA7" s="59" t="s">
        <v>334</v>
      </c>
      <c r="AB7" s="59" t="s">
        <v>189</v>
      </c>
      <c r="AC7" s="4" t="s">
        <v>330</v>
      </c>
    </row>
    <row r="8" spans="1:29" x14ac:dyDescent="0.25">
      <c r="A8" s="4" t="s">
        <v>141</v>
      </c>
      <c r="B8" s="4" t="s">
        <v>142</v>
      </c>
      <c r="C8" s="4" t="s">
        <v>129</v>
      </c>
      <c r="D8" s="4">
        <v>129.99</v>
      </c>
      <c r="E8" s="4">
        <v>92</v>
      </c>
      <c r="F8" s="4" t="s">
        <v>4</v>
      </c>
      <c r="I8" s="4" t="s">
        <v>180</v>
      </c>
      <c r="J8" s="4" t="s">
        <v>141</v>
      </c>
      <c r="K8" s="4">
        <v>3</v>
      </c>
      <c r="L8" s="4" t="s">
        <v>175</v>
      </c>
      <c r="M8" s="4" t="s">
        <v>181</v>
      </c>
      <c r="N8" s="4">
        <v>389.97</v>
      </c>
      <c r="P8" s="4" t="s">
        <v>245</v>
      </c>
      <c r="Q8" s="4" t="s">
        <v>246</v>
      </c>
      <c r="R8" s="4" t="s">
        <v>247</v>
      </c>
      <c r="S8" s="4" t="s">
        <v>223</v>
      </c>
      <c r="T8" s="4" t="s">
        <v>229</v>
      </c>
      <c r="U8" s="4" t="s">
        <v>230</v>
      </c>
      <c r="X8" s="4" t="s">
        <v>337</v>
      </c>
      <c r="Y8" s="4" t="s">
        <v>178</v>
      </c>
      <c r="Z8" s="59" t="s">
        <v>179</v>
      </c>
      <c r="AA8" s="59" t="s">
        <v>338</v>
      </c>
      <c r="AB8" s="59" t="s">
        <v>339</v>
      </c>
      <c r="AC8" s="4" t="s">
        <v>332</v>
      </c>
    </row>
    <row r="9" spans="1:29" x14ac:dyDescent="0.25">
      <c r="A9" s="4" t="s">
        <v>143</v>
      </c>
      <c r="B9" s="4" t="s">
        <v>144</v>
      </c>
      <c r="C9" s="4" t="s">
        <v>132</v>
      </c>
      <c r="D9" s="4">
        <v>399.99</v>
      </c>
      <c r="E9" s="4">
        <v>34</v>
      </c>
      <c r="F9" s="4" t="s">
        <v>4</v>
      </c>
      <c r="I9" s="4" t="s">
        <v>182</v>
      </c>
      <c r="J9" s="4" t="s">
        <v>135</v>
      </c>
      <c r="K9" s="4">
        <v>7</v>
      </c>
      <c r="L9" s="4" t="s">
        <v>177</v>
      </c>
      <c r="M9" s="4" t="s">
        <v>183</v>
      </c>
      <c r="N9" s="4">
        <v>279.93</v>
      </c>
      <c r="P9" s="4" t="s">
        <v>248</v>
      </c>
      <c r="Q9" s="4" t="s">
        <v>249</v>
      </c>
      <c r="R9" s="4" t="s">
        <v>250</v>
      </c>
      <c r="S9" s="4" t="s">
        <v>20</v>
      </c>
      <c r="T9" s="4" t="s">
        <v>224</v>
      </c>
      <c r="U9" s="4" t="s">
        <v>225</v>
      </c>
      <c r="X9" s="4" t="s">
        <v>340</v>
      </c>
      <c r="Y9" s="4" t="s">
        <v>180</v>
      </c>
      <c r="Z9" s="59" t="s">
        <v>181</v>
      </c>
      <c r="AA9" s="59" t="s">
        <v>339</v>
      </c>
      <c r="AB9" s="59" t="s">
        <v>338</v>
      </c>
      <c r="AC9" s="4" t="s">
        <v>335</v>
      </c>
    </row>
    <row r="10" spans="1:29" x14ac:dyDescent="0.25">
      <c r="A10" s="4" t="s">
        <v>145</v>
      </c>
      <c r="B10" s="4" t="s">
        <v>146</v>
      </c>
      <c r="C10" s="4" t="s">
        <v>129</v>
      </c>
      <c r="D10" s="4">
        <v>149.99</v>
      </c>
      <c r="E10" s="4">
        <v>56</v>
      </c>
      <c r="F10" s="4" t="s">
        <v>4</v>
      </c>
      <c r="I10" s="4" t="s">
        <v>184</v>
      </c>
      <c r="J10" s="4" t="s">
        <v>147</v>
      </c>
      <c r="K10" s="4">
        <v>2</v>
      </c>
      <c r="L10" s="4" t="s">
        <v>179</v>
      </c>
      <c r="M10" s="4" t="s">
        <v>185</v>
      </c>
      <c r="N10" s="4">
        <v>119.98</v>
      </c>
      <c r="P10" s="4" t="s">
        <v>251</v>
      </c>
      <c r="Q10" s="4" t="s">
        <v>252</v>
      </c>
      <c r="R10" s="4" t="s">
        <v>253</v>
      </c>
      <c r="S10" s="4" t="s">
        <v>234</v>
      </c>
      <c r="T10" s="4" t="s">
        <v>244</v>
      </c>
      <c r="U10" s="4" t="s">
        <v>230</v>
      </c>
      <c r="X10" s="4" t="s">
        <v>341</v>
      </c>
      <c r="Y10" s="4" t="s">
        <v>182</v>
      </c>
      <c r="Z10" s="59" t="s">
        <v>183</v>
      </c>
      <c r="AA10" s="59" t="s">
        <v>342</v>
      </c>
      <c r="AB10" s="59" t="s">
        <v>191</v>
      </c>
      <c r="AC10" s="4" t="s">
        <v>330</v>
      </c>
    </row>
    <row r="11" spans="1:29" x14ac:dyDescent="0.25">
      <c r="A11" s="4" t="s">
        <v>147</v>
      </c>
      <c r="B11" s="4" t="s">
        <v>148</v>
      </c>
      <c r="C11" s="4" t="s">
        <v>140</v>
      </c>
      <c r="D11" s="4">
        <v>59.99</v>
      </c>
      <c r="E11" s="4">
        <v>87</v>
      </c>
      <c r="F11" s="4" t="s">
        <v>4</v>
      </c>
      <c r="I11" s="4" t="s">
        <v>186</v>
      </c>
      <c r="J11" s="4" t="s">
        <v>156</v>
      </c>
      <c r="K11" s="4">
        <v>3</v>
      </c>
      <c r="L11" s="4" t="s">
        <v>181</v>
      </c>
      <c r="M11" s="4" t="s">
        <v>187</v>
      </c>
      <c r="N11" s="4">
        <v>1049.97</v>
      </c>
      <c r="P11" s="4" t="s">
        <v>254</v>
      </c>
      <c r="Q11" s="4" t="s">
        <v>255</v>
      </c>
      <c r="R11" s="4" t="s">
        <v>256</v>
      </c>
      <c r="S11" s="4" t="s">
        <v>239</v>
      </c>
      <c r="T11" s="4" t="s">
        <v>235</v>
      </c>
      <c r="U11" s="4" t="s">
        <v>225</v>
      </c>
      <c r="X11" s="4" t="s">
        <v>343</v>
      </c>
      <c r="Y11" s="4" t="s">
        <v>184</v>
      </c>
      <c r="Z11" s="59" t="s">
        <v>185</v>
      </c>
      <c r="AA11" s="59" t="s">
        <v>191</v>
      </c>
      <c r="AB11" s="59" t="s">
        <v>191</v>
      </c>
      <c r="AC11" s="4" t="s">
        <v>332</v>
      </c>
    </row>
    <row r="12" spans="1:29" x14ac:dyDescent="0.25">
      <c r="A12" s="4" t="s">
        <v>149</v>
      </c>
      <c r="B12" s="4" t="s">
        <v>150</v>
      </c>
      <c r="C12" s="4" t="s">
        <v>129</v>
      </c>
      <c r="D12" s="4">
        <v>299.99</v>
      </c>
      <c r="E12" s="4">
        <v>41</v>
      </c>
      <c r="F12" s="4" t="s">
        <v>5</v>
      </c>
      <c r="I12" s="4" t="s">
        <v>188</v>
      </c>
      <c r="J12" s="4" t="s">
        <v>143</v>
      </c>
      <c r="K12" s="4">
        <v>1</v>
      </c>
      <c r="L12" s="4" t="s">
        <v>183</v>
      </c>
      <c r="M12" s="4" t="s">
        <v>189</v>
      </c>
      <c r="N12" s="4">
        <v>399.99</v>
      </c>
      <c r="P12" s="4" t="s">
        <v>257</v>
      </c>
      <c r="Q12" s="4" t="s">
        <v>258</v>
      </c>
      <c r="R12" s="4" t="s">
        <v>259</v>
      </c>
      <c r="S12" s="4" t="s">
        <v>39</v>
      </c>
      <c r="T12" s="4" t="s">
        <v>240</v>
      </c>
      <c r="U12" s="4" t="s">
        <v>230</v>
      </c>
      <c r="X12" s="4" t="s">
        <v>344</v>
      </c>
      <c r="Y12" s="4" t="s">
        <v>186</v>
      </c>
      <c r="Z12" s="59" t="s">
        <v>187</v>
      </c>
      <c r="AA12" s="59" t="s">
        <v>194</v>
      </c>
      <c r="AB12" s="59" t="s">
        <v>197</v>
      </c>
      <c r="AC12" s="4" t="s">
        <v>335</v>
      </c>
    </row>
    <row r="13" spans="1:29" x14ac:dyDescent="0.25">
      <c r="A13" s="4" t="s">
        <v>151</v>
      </c>
      <c r="B13" s="4" t="s">
        <v>152</v>
      </c>
      <c r="C13" s="4" t="s">
        <v>132</v>
      </c>
      <c r="D13" s="4">
        <v>599.99</v>
      </c>
      <c r="E13" s="4">
        <v>23</v>
      </c>
      <c r="F13" s="4" t="s">
        <v>4</v>
      </c>
      <c r="I13" s="4" t="s">
        <v>190</v>
      </c>
      <c r="J13" s="4" t="s">
        <v>158</v>
      </c>
      <c r="K13" s="4">
        <v>3</v>
      </c>
      <c r="L13" s="4" t="s">
        <v>191</v>
      </c>
      <c r="M13" s="4" t="s">
        <v>192</v>
      </c>
      <c r="N13" s="4">
        <v>3899.97</v>
      </c>
      <c r="X13" s="4" t="s">
        <v>345</v>
      </c>
      <c r="Y13" s="4" t="s">
        <v>188</v>
      </c>
      <c r="Z13" s="59" t="s">
        <v>189</v>
      </c>
      <c r="AA13" s="59" t="s">
        <v>197</v>
      </c>
      <c r="AB13" s="59" t="s">
        <v>194</v>
      </c>
      <c r="AC13" s="4" t="s">
        <v>330</v>
      </c>
    </row>
    <row r="14" spans="1:29" x14ac:dyDescent="0.25">
      <c r="A14" s="4" t="s">
        <v>153</v>
      </c>
      <c r="B14" s="4" t="s">
        <v>154</v>
      </c>
      <c r="C14" s="4" t="s">
        <v>140</v>
      </c>
      <c r="D14" s="4">
        <v>79.989999999999995</v>
      </c>
      <c r="E14" s="4">
        <v>59</v>
      </c>
      <c r="F14" s="4" t="s">
        <v>155</v>
      </c>
      <c r="I14" s="4" t="s">
        <v>193</v>
      </c>
      <c r="J14" s="4" t="s">
        <v>149</v>
      </c>
      <c r="K14" s="4">
        <v>2</v>
      </c>
      <c r="L14" s="4" t="s">
        <v>194</v>
      </c>
      <c r="M14" s="4" t="s">
        <v>195</v>
      </c>
      <c r="N14" s="4">
        <v>599.98</v>
      </c>
    </row>
    <row r="15" spans="1:29" x14ac:dyDescent="0.25">
      <c r="A15" s="4" t="s">
        <v>156</v>
      </c>
      <c r="B15" s="4" t="s">
        <v>157</v>
      </c>
      <c r="C15" s="4" t="s">
        <v>129</v>
      </c>
      <c r="D15" s="4">
        <v>349.99</v>
      </c>
      <c r="E15" s="4">
        <v>38</v>
      </c>
      <c r="F15" s="4" t="s">
        <v>4</v>
      </c>
      <c r="I15" s="4" t="s">
        <v>196</v>
      </c>
      <c r="J15" s="4" t="s">
        <v>151</v>
      </c>
      <c r="K15" s="4">
        <v>1</v>
      </c>
      <c r="L15" s="4" t="s">
        <v>197</v>
      </c>
      <c r="M15" s="4" t="s">
        <v>198</v>
      </c>
      <c r="N15" s="4">
        <v>599.99</v>
      </c>
      <c r="P15" t="s">
        <v>397</v>
      </c>
      <c r="X15" t="s">
        <v>395</v>
      </c>
    </row>
    <row r="16" spans="1:29" x14ac:dyDescent="0.25">
      <c r="A16" s="4" t="s">
        <v>158</v>
      </c>
      <c r="B16" s="4" t="s">
        <v>159</v>
      </c>
      <c r="C16" s="4" t="s">
        <v>132</v>
      </c>
      <c r="D16" s="4">
        <v>499.99</v>
      </c>
      <c r="E16" s="4">
        <v>19</v>
      </c>
      <c r="F16" s="4" t="s">
        <v>5</v>
      </c>
      <c r="I16" s="4" t="s">
        <v>199</v>
      </c>
      <c r="J16" s="4" t="s">
        <v>160</v>
      </c>
      <c r="K16" s="4">
        <v>4</v>
      </c>
      <c r="L16" s="4" t="s">
        <v>192</v>
      </c>
      <c r="M16" s="4" t="s">
        <v>200</v>
      </c>
      <c r="N16" s="4">
        <v>519.96</v>
      </c>
      <c r="P16" s="1" t="s">
        <v>268</v>
      </c>
      <c r="Q16" s="1" t="s">
        <v>269</v>
      </c>
      <c r="R16" s="1" t="s">
        <v>123</v>
      </c>
      <c r="S16" s="1" t="s">
        <v>270</v>
      </c>
      <c r="T16" s="1" t="s">
        <v>16</v>
      </c>
      <c r="U16" s="1" t="s">
        <v>40</v>
      </c>
      <c r="V16" s="1" t="s">
        <v>271</v>
      </c>
      <c r="X16" s="1" t="s">
        <v>324</v>
      </c>
      <c r="Y16" s="1" t="s">
        <v>162</v>
      </c>
      <c r="Z16" s="1" t="s">
        <v>325</v>
      </c>
      <c r="AA16" s="1" t="s">
        <v>326</v>
      </c>
      <c r="AB16" s="1" t="s">
        <v>327</v>
      </c>
      <c r="AC16" s="1" t="s">
        <v>328</v>
      </c>
    </row>
    <row r="17" spans="1:29" x14ac:dyDescent="0.25">
      <c r="A17" s="4" t="s">
        <v>160</v>
      </c>
      <c r="B17" s="4" t="s">
        <v>161</v>
      </c>
      <c r="C17" s="4" t="s">
        <v>137</v>
      </c>
      <c r="D17" s="4">
        <v>129.99</v>
      </c>
      <c r="E17" s="4">
        <v>62</v>
      </c>
      <c r="F17" s="4" t="s">
        <v>4</v>
      </c>
      <c r="I17" s="4" t="s">
        <v>201</v>
      </c>
      <c r="J17" s="4" t="s">
        <v>133</v>
      </c>
      <c r="K17" s="4">
        <v>6</v>
      </c>
      <c r="L17" s="4" t="s">
        <v>195</v>
      </c>
      <c r="M17" s="4" t="s">
        <v>202</v>
      </c>
      <c r="N17" s="4">
        <v>1079.94</v>
      </c>
      <c r="P17" s="4" t="s">
        <v>272</v>
      </c>
      <c r="Q17" s="4" t="s">
        <v>273</v>
      </c>
      <c r="R17" s="4" t="s">
        <v>127</v>
      </c>
      <c r="S17" s="4" t="s">
        <v>274</v>
      </c>
      <c r="T17" s="4" t="s">
        <v>38</v>
      </c>
      <c r="U17" s="4" t="s">
        <v>22</v>
      </c>
      <c r="V17" s="4">
        <v>14</v>
      </c>
      <c r="X17" s="4" t="s">
        <v>346</v>
      </c>
      <c r="Y17" s="4" t="s">
        <v>190</v>
      </c>
      <c r="Z17" s="59" t="s">
        <v>192</v>
      </c>
      <c r="AA17" s="59" t="s">
        <v>347</v>
      </c>
      <c r="AB17" s="59" t="s">
        <v>348</v>
      </c>
      <c r="AC17" s="4" t="s">
        <v>332</v>
      </c>
    </row>
    <row r="18" spans="1:29" x14ac:dyDescent="0.25">
      <c r="I18" s="4" t="s">
        <v>203</v>
      </c>
      <c r="J18" s="4" t="s">
        <v>130</v>
      </c>
      <c r="K18" s="4">
        <v>2</v>
      </c>
      <c r="L18" s="4" t="s">
        <v>204</v>
      </c>
      <c r="M18" s="4" t="s">
        <v>205</v>
      </c>
      <c r="N18" s="4">
        <v>499.98</v>
      </c>
      <c r="P18" s="4" t="s">
        <v>275</v>
      </c>
      <c r="Q18" s="4" t="s">
        <v>276</v>
      </c>
      <c r="R18" s="4" t="s">
        <v>130</v>
      </c>
      <c r="S18" s="4" t="s">
        <v>277</v>
      </c>
      <c r="T18" s="4" t="s">
        <v>278</v>
      </c>
      <c r="U18" s="4" t="s">
        <v>23</v>
      </c>
      <c r="V18" s="4">
        <v>21</v>
      </c>
      <c r="X18" s="4" t="s">
        <v>349</v>
      </c>
      <c r="Y18" s="4" t="s">
        <v>193</v>
      </c>
      <c r="Z18" s="59" t="s">
        <v>195</v>
      </c>
      <c r="AA18" s="59" t="s">
        <v>350</v>
      </c>
      <c r="AB18" s="59" t="s">
        <v>351</v>
      </c>
      <c r="AC18" s="4" t="s">
        <v>335</v>
      </c>
    </row>
    <row r="19" spans="1:29" x14ac:dyDescent="0.25">
      <c r="I19" s="4" t="s">
        <v>206</v>
      </c>
      <c r="J19" s="4" t="s">
        <v>141</v>
      </c>
      <c r="K19" s="4">
        <v>4</v>
      </c>
      <c r="L19" s="4" t="s">
        <v>207</v>
      </c>
      <c r="M19" s="4" t="s">
        <v>208</v>
      </c>
      <c r="N19" s="4">
        <v>519.96</v>
      </c>
      <c r="P19" s="4" t="s">
        <v>279</v>
      </c>
      <c r="Q19" s="4" t="s">
        <v>280</v>
      </c>
      <c r="R19" s="4" t="s">
        <v>133</v>
      </c>
      <c r="S19" s="4" t="s">
        <v>281</v>
      </c>
      <c r="T19" s="4" t="s">
        <v>282</v>
      </c>
      <c r="U19" s="4" t="s">
        <v>22</v>
      </c>
      <c r="V19" s="4">
        <v>10</v>
      </c>
      <c r="X19" s="4" t="s">
        <v>352</v>
      </c>
      <c r="Y19" s="4" t="s">
        <v>196</v>
      </c>
      <c r="Z19" s="59" t="s">
        <v>198</v>
      </c>
      <c r="AA19" s="59" t="s">
        <v>351</v>
      </c>
      <c r="AB19" s="59" t="s">
        <v>350</v>
      </c>
      <c r="AC19" s="4" t="s">
        <v>330</v>
      </c>
    </row>
    <row r="20" spans="1:29" x14ac:dyDescent="0.25">
      <c r="I20" s="4" t="s">
        <v>209</v>
      </c>
      <c r="J20" s="4" t="s">
        <v>156</v>
      </c>
      <c r="K20" s="4">
        <v>2</v>
      </c>
      <c r="L20" s="4" t="s">
        <v>210</v>
      </c>
      <c r="M20" s="4" t="s">
        <v>211</v>
      </c>
      <c r="N20" s="4">
        <v>699.98</v>
      </c>
      <c r="P20" s="4" t="s">
        <v>283</v>
      </c>
      <c r="Q20" s="4" t="s">
        <v>284</v>
      </c>
      <c r="R20" s="4" t="s">
        <v>135</v>
      </c>
      <c r="S20" s="4" t="s">
        <v>285</v>
      </c>
      <c r="T20" s="4" t="s">
        <v>286</v>
      </c>
      <c r="U20" s="4" t="s">
        <v>23</v>
      </c>
      <c r="V20" s="4">
        <v>15</v>
      </c>
      <c r="X20" s="4" t="s">
        <v>353</v>
      </c>
      <c r="Y20" s="4" t="s">
        <v>199</v>
      </c>
      <c r="Z20" s="59" t="s">
        <v>200</v>
      </c>
      <c r="AA20" s="59" t="s">
        <v>354</v>
      </c>
      <c r="AB20" s="59" t="s">
        <v>355</v>
      </c>
      <c r="AC20" s="4" t="s">
        <v>332</v>
      </c>
    </row>
    <row r="21" spans="1:29" ht="15.75" thickBot="1" x14ac:dyDescent="0.3">
      <c r="I21" s="4" t="s">
        <v>212</v>
      </c>
      <c r="J21" s="4" t="s">
        <v>135</v>
      </c>
      <c r="K21" s="4">
        <v>10</v>
      </c>
      <c r="L21" s="4" t="s">
        <v>205</v>
      </c>
      <c r="M21" s="4" t="s">
        <v>213</v>
      </c>
      <c r="N21" s="4">
        <v>399.9</v>
      </c>
      <c r="P21" s="4" t="s">
        <v>287</v>
      </c>
      <c r="Q21" s="4" t="s">
        <v>288</v>
      </c>
      <c r="R21" s="4" t="s">
        <v>138</v>
      </c>
      <c r="S21" s="4" t="s">
        <v>289</v>
      </c>
      <c r="T21" s="4" t="s">
        <v>223</v>
      </c>
      <c r="U21" s="4" t="s">
        <v>21</v>
      </c>
      <c r="V21" s="4">
        <v>7</v>
      </c>
      <c r="X21" s="4" t="s">
        <v>356</v>
      </c>
      <c r="Y21" s="4" t="s">
        <v>201</v>
      </c>
      <c r="Z21" s="59" t="s">
        <v>202</v>
      </c>
      <c r="AA21" s="59" t="s">
        <v>355</v>
      </c>
      <c r="AB21" s="59" t="s">
        <v>354</v>
      </c>
      <c r="AC21" s="4" t="s">
        <v>335</v>
      </c>
    </row>
    <row r="22" spans="1:29" x14ac:dyDescent="0.25">
      <c r="A22" s="46" t="s">
        <v>405</v>
      </c>
      <c r="B22" s="47"/>
      <c r="C22" s="47"/>
      <c r="D22" s="47"/>
      <c r="E22" s="47"/>
      <c r="F22" s="47"/>
      <c r="G22" s="48"/>
      <c r="I22" s="4" t="s">
        <v>214</v>
      </c>
      <c r="J22" s="4" t="s">
        <v>145</v>
      </c>
      <c r="K22" s="4">
        <v>3</v>
      </c>
      <c r="L22" s="4" t="s">
        <v>208</v>
      </c>
      <c r="M22" s="4" t="s">
        <v>215</v>
      </c>
      <c r="N22" s="4">
        <v>449.97</v>
      </c>
      <c r="P22" s="4" t="s">
        <v>290</v>
      </c>
      <c r="Q22" s="4" t="s">
        <v>291</v>
      </c>
      <c r="R22" s="4" t="s">
        <v>141</v>
      </c>
      <c r="S22" s="4" t="s">
        <v>292</v>
      </c>
      <c r="T22" s="4" t="s">
        <v>6</v>
      </c>
      <c r="U22" s="4" t="s">
        <v>23</v>
      </c>
      <c r="V22" s="4">
        <v>12</v>
      </c>
      <c r="X22" s="4" t="s">
        <v>357</v>
      </c>
      <c r="Y22" s="4" t="s">
        <v>203</v>
      </c>
      <c r="Z22" s="59" t="s">
        <v>205</v>
      </c>
      <c r="AA22" s="59" t="s">
        <v>358</v>
      </c>
      <c r="AB22" s="59" t="s">
        <v>359</v>
      </c>
      <c r="AC22" s="4" t="s">
        <v>330</v>
      </c>
    </row>
    <row r="23" spans="1:29" x14ac:dyDescent="0.25">
      <c r="A23" s="49"/>
      <c r="B23" s="50"/>
      <c r="C23" s="50"/>
      <c r="D23" s="50"/>
      <c r="E23" s="50"/>
      <c r="F23" s="50"/>
      <c r="G23" s="51"/>
      <c r="P23" s="4" t="s">
        <v>293</v>
      </c>
      <c r="Q23" s="4" t="s">
        <v>294</v>
      </c>
      <c r="R23" s="4" t="s">
        <v>143</v>
      </c>
      <c r="S23" s="4" t="s">
        <v>295</v>
      </c>
      <c r="T23" s="4" t="s">
        <v>296</v>
      </c>
      <c r="U23" s="4" t="s">
        <v>23</v>
      </c>
      <c r="V23" s="4">
        <v>18</v>
      </c>
      <c r="X23" s="4" t="s">
        <v>360</v>
      </c>
      <c r="Y23" s="4" t="s">
        <v>206</v>
      </c>
      <c r="Z23" s="59" t="s">
        <v>208</v>
      </c>
      <c r="AA23" s="59" t="s">
        <v>359</v>
      </c>
      <c r="AB23" s="59" t="s">
        <v>358</v>
      </c>
      <c r="AC23" s="4" t="s">
        <v>332</v>
      </c>
    </row>
    <row r="24" spans="1:29" x14ac:dyDescent="0.25">
      <c r="A24" s="49"/>
      <c r="B24" s="50"/>
      <c r="C24" s="50"/>
      <c r="D24" s="50"/>
      <c r="E24" s="50"/>
      <c r="F24" s="50"/>
      <c r="G24" s="51"/>
      <c r="P24" s="4" t="s">
        <v>297</v>
      </c>
      <c r="Q24" s="4" t="s">
        <v>298</v>
      </c>
      <c r="R24" s="4" t="s">
        <v>145</v>
      </c>
      <c r="S24" s="4" t="s">
        <v>299</v>
      </c>
      <c r="T24" s="4" t="s">
        <v>300</v>
      </c>
      <c r="U24" s="4" t="s">
        <v>22</v>
      </c>
      <c r="V24" s="4">
        <v>14</v>
      </c>
      <c r="X24" s="4" t="s">
        <v>361</v>
      </c>
      <c r="Y24" s="4" t="s">
        <v>209</v>
      </c>
      <c r="Z24" s="59" t="s">
        <v>211</v>
      </c>
      <c r="AA24" s="59" t="s">
        <v>362</v>
      </c>
      <c r="AB24" s="59" t="s">
        <v>363</v>
      </c>
      <c r="AC24" s="4" t="s">
        <v>335</v>
      </c>
    </row>
    <row r="25" spans="1:29" x14ac:dyDescent="0.25">
      <c r="A25" s="49"/>
      <c r="B25" s="50"/>
      <c r="C25" s="50"/>
      <c r="D25" s="50"/>
      <c r="E25" s="50"/>
      <c r="F25" s="50"/>
      <c r="G25" s="51"/>
      <c r="I25" t="s">
        <v>399</v>
      </c>
      <c r="P25" s="4" t="s">
        <v>301</v>
      </c>
      <c r="Q25" s="4" t="s">
        <v>302</v>
      </c>
      <c r="R25" s="4" t="s">
        <v>147</v>
      </c>
      <c r="S25" s="4" t="s">
        <v>303</v>
      </c>
      <c r="T25" s="4" t="s">
        <v>19</v>
      </c>
      <c r="U25" s="4" t="s">
        <v>23</v>
      </c>
      <c r="V25" s="4">
        <v>16</v>
      </c>
      <c r="X25" s="4" t="s">
        <v>364</v>
      </c>
      <c r="Y25" s="4" t="s">
        <v>212</v>
      </c>
      <c r="Z25" s="59" t="s">
        <v>213</v>
      </c>
      <c r="AA25" s="59" t="s">
        <v>363</v>
      </c>
      <c r="AB25" s="59" t="s">
        <v>362</v>
      </c>
      <c r="AC25" s="4" t="s">
        <v>330</v>
      </c>
    </row>
    <row r="26" spans="1:29" x14ac:dyDescent="0.25">
      <c r="A26" s="49"/>
      <c r="B26" s="50"/>
      <c r="C26" s="50"/>
      <c r="D26" s="50"/>
      <c r="E26" s="50"/>
      <c r="F26" s="50"/>
      <c r="G26" s="51"/>
      <c r="I26" s="1" t="s">
        <v>162</v>
      </c>
      <c r="J26" s="1" t="s">
        <v>216</v>
      </c>
      <c r="K26" s="1" t="s">
        <v>260</v>
      </c>
      <c r="L26" s="1" t="s">
        <v>261</v>
      </c>
      <c r="M26" s="1" t="s">
        <v>262</v>
      </c>
      <c r="N26" s="1" t="s">
        <v>263</v>
      </c>
      <c r="P26" s="4" t="s">
        <v>304</v>
      </c>
      <c r="Q26" s="4" t="s">
        <v>305</v>
      </c>
      <c r="R26" s="4" t="s">
        <v>149</v>
      </c>
      <c r="S26" s="4" t="s">
        <v>306</v>
      </c>
      <c r="T26" s="4" t="s">
        <v>223</v>
      </c>
      <c r="U26" s="4" t="s">
        <v>21</v>
      </c>
      <c r="V26" s="4">
        <v>9</v>
      </c>
      <c r="X26" s="4" t="s">
        <v>365</v>
      </c>
      <c r="Y26" s="4" t="s">
        <v>214</v>
      </c>
      <c r="Z26" s="59" t="s">
        <v>215</v>
      </c>
      <c r="AA26" s="59" t="s">
        <v>366</v>
      </c>
      <c r="AB26" s="59" t="s">
        <v>367</v>
      </c>
      <c r="AC26" s="4" t="s">
        <v>332</v>
      </c>
    </row>
    <row r="27" spans="1:29" x14ac:dyDescent="0.25">
      <c r="A27" s="49"/>
      <c r="B27" s="50"/>
      <c r="C27" s="50"/>
      <c r="D27" s="50"/>
      <c r="E27" s="50"/>
      <c r="F27" s="50"/>
      <c r="G27" s="51"/>
      <c r="I27" s="4" t="s">
        <v>167</v>
      </c>
      <c r="J27" s="4" t="s">
        <v>231</v>
      </c>
      <c r="K27" s="4" t="s">
        <v>264</v>
      </c>
      <c r="L27" s="4">
        <v>2599.98</v>
      </c>
      <c r="M27" s="4">
        <v>0</v>
      </c>
      <c r="N27" s="4">
        <v>2599.98</v>
      </c>
      <c r="P27" s="4" t="s">
        <v>307</v>
      </c>
      <c r="Q27" s="4" t="s">
        <v>308</v>
      </c>
      <c r="R27" s="4" t="s">
        <v>151</v>
      </c>
      <c r="S27" s="4" t="s">
        <v>309</v>
      </c>
      <c r="T27" s="4" t="s">
        <v>20</v>
      </c>
      <c r="U27" s="4" t="s">
        <v>21</v>
      </c>
      <c r="V27" s="4">
        <v>20</v>
      </c>
    </row>
    <row r="28" spans="1:29" x14ac:dyDescent="0.25">
      <c r="A28" s="49"/>
      <c r="B28" s="50"/>
      <c r="C28" s="50"/>
      <c r="D28" s="50"/>
      <c r="E28" s="50"/>
      <c r="F28" s="50"/>
      <c r="G28" s="51"/>
      <c r="I28" s="4" t="s">
        <v>170</v>
      </c>
      <c r="J28" s="4" t="s">
        <v>248</v>
      </c>
      <c r="K28" s="4" t="s">
        <v>265</v>
      </c>
      <c r="L28" s="4">
        <v>899.95</v>
      </c>
      <c r="M28" s="4">
        <v>0</v>
      </c>
      <c r="N28" s="4">
        <v>899.95</v>
      </c>
      <c r="P28" s="4" t="s">
        <v>310</v>
      </c>
      <c r="Q28" s="4" t="s">
        <v>311</v>
      </c>
      <c r="R28" s="4" t="s">
        <v>153</v>
      </c>
      <c r="S28" s="4" t="s">
        <v>312</v>
      </c>
      <c r="T28" s="4" t="s">
        <v>39</v>
      </c>
      <c r="U28" s="4" t="s">
        <v>313</v>
      </c>
      <c r="V28" s="4">
        <v>25</v>
      </c>
    </row>
    <row r="29" spans="1:29" ht="15.75" thickBot="1" x14ac:dyDescent="0.3">
      <c r="A29" s="52"/>
      <c r="B29" s="53"/>
      <c r="C29" s="53"/>
      <c r="D29" s="53"/>
      <c r="E29" s="53"/>
      <c r="F29" s="53"/>
      <c r="G29" s="54"/>
      <c r="I29" s="4" t="s">
        <v>173</v>
      </c>
      <c r="J29" s="4" t="s">
        <v>220</v>
      </c>
      <c r="K29" s="4" t="s">
        <v>264</v>
      </c>
      <c r="L29" s="4">
        <v>269.97000000000003</v>
      </c>
      <c r="M29" s="4">
        <v>0</v>
      </c>
      <c r="N29" s="4">
        <v>269.97000000000003</v>
      </c>
      <c r="P29" s="4" t="s">
        <v>314</v>
      </c>
      <c r="Q29" s="4" t="s">
        <v>315</v>
      </c>
      <c r="R29" s="4" t="s">
        <v>156</v>
      </c>
      <c r="S29" s="4" t="s">
        <v>316</v>
      </c>
      <c r="T29" s="4" t="s">
        <v>8</v>
      </c>
      <c r="U29" s="4" t="s">
        <v>22</v>
      </c>
      <c r="V29" s="4">
        <v>15</v>
      </c>
    </row>
    <row r="30" spans="1:29" x14ac:dyDescent="0.25">
      <c r="I30" s="4" t="s">
        <v>176</v>
      </c>
      <c r="J30" s="4" t="s">
        <v>245</v>
      </c>
      <c r="K30" s="4" t="s">
        <v>266</v>
      </c>
      <c r="L30" s="4">
        <v>999.96</v>
      </c>
      <c r="M30" s="4">
        <v>100</v>
      </c>
      <c r="N30" s="4">
        <v>899.96</v>
      </c>
      <c r="P30" s="4" t="s">
        <v>317</v>
      </c>
      <c r="Q30" s="4" t="s">
        <v>318</v>
      </c>
      <c r="R30" s="4" t="s">
        <v>158</v>
      </c>
      <c r="S30" s="4" t="s">
        <v>319</v>
      </c>
      <c r="T30" s="4" t="s">
        <v>234</v>
      </c>
      <c r="U30" s="4" t="s">
        <v>23</v>
      </c>
      <c r="V30" s="4">
        <v>17</v>
      </c>
    </row>
    <row r="31" spans="1:29" x14ac:dyDescent="0.25">
      <c r="I31" s="4" t="s">
        <v>178</v>
      </c>
      <c r="J31" s="4" t="s">
        <v>251</v>
      </c>
      <c r="K31" s="4" t="s">
        <v>265</v>
      </c>
      <c r="L31" s="4">
        <v>149.99</v>
      </c>
      <c r="M31" s="4">
        <v>0</v>
      </c>
      <c r="N31" s="4">
        <v>149.99</v>
      </c>
      <c r="P31" s="4" t="s">
        <v>320</v>
      </c>
      <c r="Q31" s="4" t="s">
        <v>321</v>
      </c>
      <c r="R31" s="4" t="s">
        <v>160</v>
      </c>
      <c r="S31" s="4" t="s">
        <v>322</v>
      </c>
      <c r="T31" s="4" t="s">
        <v>323</v>
      </c>
      <c r="U31" s="4" t="s">
        <v>23</v>
      </c>
      <c r="V31" s="4">
        <v>13</v>
      </c>
    </row>
    <row r="32" spans="1:29" x14ac:dyDescent="0.25">
      <c r="I32" s="4" t="s">
        <v>180</v>
      </c>
      <c r="J32" s="4" t="s">
        <v>226</v>
      </c>
      <c r="K32" s="4" t="s">
        <v>264</v>
      </c>
      <c r="L32" s="4">
        <v>389.97</v>
      </c>
      <c r="M32" s="4">
        <v>0</v>
      </c>
      <c r="N32" s="4">
        <v>389.97</v>
      </c>
    </row>
    <row r="33" spans="9:14" x14ac:dyDescent="0.25">
      <c r="I33" s="4" t="s">
        <v>182</v>
      </c>
      <c r="J33" s="4" t="s">
        <v>236</v>
      </c>
      <c r="K33" s="4" t="s">
        <v>267</v>
      </c>
      <c r="L33" s="4">
        <v>279.93</v>
      </c>
      <c r="M33" s="4">
        <v>0</v>
      </c>
      <c r="N33" s="4">
        <v>279.93</v>
      </c>
    </row>
    <row r="34" spans="9:14" x14ac:dyDescent="0.25">
      <c r="I34" s="4" t="s">
        <v>184</v>
      </c>
      <c r="J34" s="4" t="s">
        <v>257</v>
      </c>
      <c r="K34" s="4" t="s">
        <v>264</v>
      </c>
      <c r="L34" s="4">
        <v>119.98</v>
      </c>
      <c r="M34" s="4">
        <v>0</v>
      </c>
      <c r="N34" s="4">
        <v>119.98</v>
      </c>
    </row>
    <row r="35" spans="9:14" x14ac:dyDescent="0.25">
      <c r="I35" s="4" t="s">
        <v>186</v>
      </c>
      <c r="J35" s="4" t="s">
        <v>241</v>
      </c>
      <c r="K35" s="4" t="s">
        <v>265</v>
      </c>
      <c r="L35" s="4">
        <v>1049.97</v>
      </c>
      <c r="M35" s="4">
        <v>105</v>
      </c>
      <c r="N35" s="4">
        <v>944.97</v>
      </c>
    </row>
    <row r="36" spans="9:14" x14ac:dyDescent="0.25">
      <c r="I36" s="4" t="s">
        <v>188</v>
      </c>
      <c r="J36" s="4" t="s">
        <v>254</v>
      </c>
      <c r="K36" s="4" t="s">
        <v>266</v>
      </c>
      <c r="L36" s="4">
        <v>399.99</v>
      </c>
      <c r="M36" s="4">
        <v>0</v>
      </c>
      <c r="N36" s="4">
        <v>399.99</v>
      </c>
    </row>
    <row r="37" spans="9:14" x14ac:dyDescent="0.25">
      <c r="I37" s="4" t="s">
        <v>190</v>
      </c>
      <c r="J37" s="4" t="s">
        <v>226</v>
      </c>
      <c r="K37" s="4" t="s">
        <v>264</v>
      </c>
      <c r="L37" s="4">
        <v>3899.97</v>
      </c>
      <c r="M37" s="4">
        <v>390</v>
      </c>
      <c r="N37" s="4">
        <v>3509.97</v>
      </c>
    </row>
    <row r="38" spans="9:14" x14ac:dyDescent="0.25">
      <c r="I38" s="4" t="s">
        <v>193</v>
      </c>
      <c r="J38" s="4" t="s">
        <v>220</v>
      </c>
      <c r="K38" s="4" t="s">
        <v>265</v>
      </c>
      <c r="L38" s="4">
        <v>599.98</v>
      </c>
      <c r="M38" s="4">
        <v>0</v>
      </c>
      <c r="N38" s="4">
        <v>599.98</v>
      </c>
    </row>
    <row r="39" spans="9:14" x14ac:dyDescent="0.25">
      <c r="I39" s="4" t="s">
        <v>196</v>
      </c>
      <c r="J39" s="4" t="s">
        <v>245</v>
      </c>
      <c r="K39" s="4" t="s">
        <v>264</v>
      </c>
      <c r="L39" s="4">
        <v>599.99</v>
      </c>
      <c r="M39" s="4">
        <v>0</v>
      </c>
      <c r="N39" s="4">
        <v>599.99</v>
      </c>
    </row>
    <row r="40" spans="9:14" x14ac:dyDescent="0.25">
      <c r="I40" s="4" t="s">
        <v>199</v>
      </c>
      <c r="J40" s="4" t="s">
        <v>231</v>
      </c>
      <c r="K40" s="4" t="s">
        <v>267</v>
      </c>
      <c r="L40" s="4">
        <v>519.96</v>
      </c>
      <c r="M40" s="4">
        <v>52</v>
      </c>
      <c r="N40" s="4">
        <v>467.96</v>
      </c>
    </row>
    <row r="41" spans="9:14" x14ac:dyDescent="0.25">
      <c r="I41" s="4" t="s">
        <v>201</v>
      </c>
      <c r="J41" s="4" t="s">
        <v>251</v>
      </c>
      <c r="K41" s="4" t="s">
        <v>264</v>
      </c>
      <c r="L41" s="4">
        <v>1079.94</v>
      </c>
      <c r="M41" s="4">
        <v>108</v>
      </c>
      <c r="N41" s="4">
        <v>971.94</v>
      </c>
    </row>
    <row r="42" spans="9:14" x14ac:dyDescent="0.25">
      <c r="I42" s="4" t="s">
        <v>203</v>
      </c>
      <c r="J42" s="4" t="s">
        <v>257</v>
      </c>
      <c r="K42" s="4" t="s">
        <v>265</v>
      </c>
      <c r="L42" s="4">
        <v>499.98</v>
      </c>
      <c r="M42" s="4">
        <v>0</v>
      </c>
      <c r="N42" s="4">
        <v>499.98</v>
      </c>
    </row>
    <row r="43" spans="9:14" x14ac:dyDescent="0.25">
      <c r="I43" s="4" t="s">
        <v>206</v>
      </c>
      <c r="J43" s="4" t="s">
        <v>236</v>
      </c>
      <c r="K43" s="4" t="s">
        <v>264</v>
      </c>
      <c r="L43" s="4">
        <v>519.96</v>
      </c>
      <c r="M43" s="4">
        <v>0</v>
      </c>
      <c r="N43" s="4">
        <v>519.96</v>
      </c>
    </row>
    <row r="44" spans="9:14" x14ac:dyDescent="0.25">
      <c r="I44" s="4" t="s">
        <v>209</v>
      </c>
      <c r="J44" s="4" t="s">
        <v>248</v>
      </c>
      <c r="K44" s="4" t="s">
        <v>266</v>
      </c>
      <c r="L44" s="4">
        <v>699.98</v>
      </c>
      <c r="M44" s="4">
        <v>70</v>
      </c>
      <c r="N44" s="4">
        <v>629.98</v>
      </c>
    </row>
    <row r="45" spans="9:14" x14ac:dyDescent="0.25">
      <c r="I45" s="4" t="s">
        <v>212</v>
      </c>
      <c r="J45" s="4" t="s">
        <v>241</v>
      </c>
      <c r="K45" s="4" t="s">
        <v>267</v>
      </c>
      <c r="L45" s="4">
        <v>399.9</v>
      </c>
      <c r="M45" s="4">
        <v>0</v>
      </c>
      <c r="N45" s="4">
        <v>399.9</v>
      </c>
    </row>
    <row r="46" spans="9:14" x14ac:dyDescent="0.25">
      <c r="I46" s="4" t="s">
        <v>214</v>
      </c>
      <c r="J46" s="4" t="s">
        <v>254</v>
      </c>
      <c r="K46" s="4" t="s">
        <v>264</v>
      </c>
      <c r="L46" s="4">
        <v>449.97</v>
      </c>
      <c r="M46" s="4">
        <v>0</v>
      </c>
      <c r="N46" s="4">
        <v>449.97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E09C9-78A0-4673-9FB7-2DDC4540AD36}">
  <dimension ref="A1:V54"/>
  <sheetViews>
    <sheetView workbookViewId="0">
      <selection activeCell="B7" sqref="B7"/>
    </sheetView>
  </sheetViews>
  <sheetFormatPr defaultRowHeight="15" x14ac:dyDescent="0.25"/>
  <cols>
    <col min="1" max="1" width="8" customWidth="1"/>
    <col min="2" max="2" width="9.140625" customWidth="1"/>
    <col min="3" max="3" width="13.28515625" bestFit="1" customWidth="1"/>
    <col min="4" max="4" width="8.5703125" bestFit="1" customWidth="1"/>
    <col min="5" max="5" width="9" bestFit="1" customWidth="1"/>
    <col min="6" max="6" width="11.28515625" bestFit="1" customWidth="1"/>
    <col min="7" max="7" width="14.85546875" bestFit="1" customWidth="1"/>
    <col min="8" max="8" width="16.28515625" bestFit="1" customWidth="1"/>
    <col min="9" max="9" width="10" bestFit="1" customWidth="1"/>
    <col min="10" max="10" width="9.140625" customWidth="1"/>
    <col min="11" max="11" width="12.85546875" bestFit="1" customWidth="1"/>
    <col min="12" max="12" width="16.7109375" bestFit="1" customWidth="1"/>
    <col min="13" max="13" width="13.5703125" bestFit="1" customWidth="1"/>
    <col min="14" max="14" width="14.85546875" bestFit="1" customWidth="1"/>
    <col min="15" max="15" width="10.140625" bestFit="1" customWidth="1"/>
    <col min="16" max="16" width="13.7109375" bestFit="1" customWidth="1"/>
    <col min="17" max="17" width="15.140625" bestFit="1" customWidth="1"/>
    <col min="18" max="18" width="8.42578125" bestFit="1" customWidth="1"/>
    <col min="20" max="20" width="12.28515625" bestFit="1" customWidth="1"/>
    <col min="21" max="21" width="8.85546875" bestFit="1" customWidth="1"/>
    <col min="22" max="22" width="12.28515625" bestFit="1" customWidth="1"/>
  </cols>
  <sheetData>
    <row r="1" spans="1:18" x14ac:dyDescent="0.25">
      <c r="A1" s="9" t="s">
        <v>433</v>
      </c>
      <c r="Q1" s="7">
        <v>10</v>
      </c>
      <c r="R1" s="8">
        <f>GRADING!C15</f>
        <v>0.03</v>
      </c>
    </row>
    <row r="2" spans="1:18" x14ac:dyDescent="0.25">
      <c r="A2" s="9"/>
      <c r="B2" s="9" t="s">
        <v>434</v>
      </c>
      <c r="R2" s="28"/>
    </row>
    <row r="3" spans="1:18" x14ac:dyDescent="0.25">
      <c r="A3" s="9"/>
      <c r="B3" s="9" t="s">
        <v>435</v>
      </c>
      <c r="R3" s="28"/>
    </row>
    <row r="4" spans="1:18" x14ac:dyDescent="0.25">
      <c r="A4" s="9"/>
      <c r="B4" s="9" t="s">
        <v>436</v>
      </c>
      <c r="R4" s="28"/>
    </row>
    <row r="5" spans="1:18" x14ac:dyDescent="0.25">
      <c r="A5" s="9"/>
      <c r="B5" s="9" t="s">
        <v>437</v>
      </c>
      <c r="R5" s="28"/>
    </row>
    <row r="6" spans="1:18" x14ac:dyDescent="0.25">
      <c r="A6" s="9"/>
      <c r="B6" s="9" t="s">
        <v>438</v>
      </c>
      <c r="R6" s="28"/>
    </row>
    <row r="7" spans="1:18" x14ac:dyDescent="0.25">
      <c r="A7" s="9"/>
      <c r="R7" s="28"/>
    </row>
    <row r="8" spans="1:18" ht="15.75" thickBot="1" x14ac:dyDescent="0.3">
      <c r="A8" s="9"/>
      <c r="B8" s="9" t="s">
        <v>419</v>
      </c>
      <c r="J8" s="17" t="s">
        <v>406</v>
      </c>
      <c r="R8" s="28"/>
    </row>
    <row r="9" spans="1:18" x14ac:dyDescent="0.25">
      <c r="A9" s="9"/>
      <c r="B9" s="46" t="s">
        <v>402</v>
      </c>
      <c r="C9" s="47"/>
      <c r="D9" s="47"/>
      <c r="E9" s="47"/>
      <c r="F9" s="47"/>
      <c r="G9" s="47"/>
      <c r="H9" s="48"/>
      <c r="J9" s="46" t="s">
        <v>411</v>
      </c>
      <c r="K9" s="47"/>
      <c r="L9" s="47"/>
      <c r="M9" s="48"/>
      <c r="R9" s="28"/>
    </row>
    <row r="10" spans="1:18" x14ac:dyDescent="0.25">
      <c r="A10" s="9"/>
      <c r="B10" s="49" t="s">
        <v>407</v>
      </c>
      <c r="C10" s="50"/>
      <c r="D10" s="50"/>
      <c r="E10" s="50"/>
      <c r="F10" s="50"/>
      <c r="G10" s="50"/>
      <c r="H10" s="51"/>
      <c r="J10" s="49" t="s">
        <v>412</v>
      </c>
      <c r="K10" s="50"/>
      <c r="L10" s="50"/>
      <c r="M10" s="51"/>
      <c r="R10" s="28"/>
    </row>
    <row r="11" spans="1:18" x14ac:dyDescent="0.25">
      <c r="A11" s="9"/>
      <c r="B11" s="49" t="s">
        <v>408</v>
      </c>
      <c r="C11" s="50"/>
      <c r="D11" s="50"/>
      <c r="E11" s="50"/>
      <c r="F11" s="50"/>
      <c r="G11" s="50"/>
      <c r="H11" s="51"/>
      <c r="J11" s="49" t="s">
        <v>413</v>
      </c>
      <c r="K11" s="50"/>
      <c r="L11" s="50"/>
      <c r="M11" s="51"/>
      <c r="R11" s="28"/>
    </row>
    <row r="12" spans="1:18" x14ac:dyDescent="0.25">
      <c r="A12" s="9"/>
      <c r="B12" s="49" t="s">
        <v>409</v>
      </c>
      <c r="C12" s="50"/>
      <c r="D12" s="50"/>
      <c r="E12" s="50"/>
      <c r="F12" s="50"/>
      <c r="G12" s="50"/>
      <c r="H12" s="51"/>
      <c r="J12" s="49" t="s">
        <v>414</v>
      </c>
      <c r="K12" s="50"/>
      <c r="L12" s="50"/>
      <c r="M12" s="51"/>
      <c r="R12" s="28"/>
    </row>
    <row r="13" spans="1:18" ht="15.75" thickBot="1" x14ac:dyDescent="0.3">
      <c r="A13" s="9"/>
      <c r="B13" s="52" t="s">
        <v>410</v>
      </c>
      <c r="C13" s="53"/>
      <c r="D13" s="53"/>
      <c r="E13" s="53"/>
      <c r="F13" s="53"/>
      <c r="G13" s="53"/>
      <c r="H13" s="54"/>
      <c r="J13" s="49" t="s">
        <v>415</v>
      </c>
      <c r="K13" s="50"/>
      <c r="L13" s="50"/>
      <c r="M13" s="51"/>
      <c r="R13" s="28"/>
    </row>
    <row r="14" spans="1:18" ht="15.75" thickBot="1" x14ac:dyDescent="0.3">
      <c r="A14" s="9"/>
      <c r="B14" s="109" t="s">
        <v>418</v>
      </c>
      <c r="C14" s="110"/>
      <c r="D14" s="110"/>
      <c r="E14" s="110"/>
      <c r="F14" s="110"/>
      <c r="G14" s="110"/>
      <c r="H14" s="111"/>
      <c r="J14" s="52" t="s">
        <v>416</v>
      </c>
      <c r="K14" s="53"/>
      <c r="L14" s="53"/>
      <c r="M14" s="54"/>
      <c r="R14" s="28"/>
    </row>
    <row r="15" spans="1:18" ht="15.75" thickBot="1" x14ac:dyDescent="0.3">
      <c r="A15" s="9"/>
      <c r="B15" s="112"/>
      <c r="C15" s="113"/>
      <c r="D15" s="113"/>
      <c r="E15" s="113"/>
      <c r="F15" s="113"/>
      <c r="G15" s="113"/>
      <c r="H15" s="114"/>
      <c r="R15" s="28"/>
    </row>
    <row r="16" spans="1:18" ht="15.75" thickBot="1" x14ac:dyDescent="0.3">
      <c r="A16" s="9"/>
      <c r="B16" s="52"/>
      <c r="C16" s="53"/>
      <c r="D16" s="53"/>
      <c r="E16" s="53"/>
      <c r="F16" s="53"/>
      <c r="G16" s="53"/>
      <c r="H16" s="54"/>
      <c r="R16" s="28"/>
    </row>
    <row r="17" spans="1:22" x14ac:dyDescent="0.25">
      <c r="A17" s="9" t="s">
        <v>403</v>
      </c>
    </row>
    <row r="18" spans="1:22" x14ac:dyDescent="0.25">
      <c r="A18" s="17" t="s">
        <v>162</v>
      </c>
      <c r="B18" s="17" t="s">
        <v>123</v>
      </c>
      <c r="C18" s="17" t="s">
        <v>124</v>
      </c>
      <c r="D18" s="17" t="s">
        <v>51</v>
      </c>
      <c r="E18" s="17" t="s">
        <v>125</v>
      </c>
      <c r="F18" s="17" t="s">
        <v>216</v>
      </c>
      <c r="G18" s="17" t="s">
        <v>368</v>
      </c>
      <c r="H18" s="17" t="s">
        <v>369</v>
      </c>
      <c r="I18" s="17" t="s">
        <v>164</v>
      </c>
      <c r="J18" s="17" t="s">
        <v>324</v>
      </c>
      <c r="K18" s="17" t="s">
        <v>325</v>
      </c>
      <c r="L18" s="17" t="s">
        <v>326</v>
      </c>
      <c r="M18" s="17" t="s">
        <v>327</v>
      </c>
      <c r="N18" s="17" t="s">
        <v>328</v>
      </c>
      <c r="O18" s="17" t="s">
        <v>268</v>
      </c>
      <c r="P18" s="17" t="s">
        <v>269</v>
      </c>
      <c r="Q18" s="17" t="s">
        <v>370</v>
      </c>
      <c r="R18" s="17" t="s">
        <v>163</v>
      </c>
      <c r="S18" s="17" t="s">
        <v>166</v>
      </c>
      <c r="T18" s="17" t="s">
        <v>261</v>
      </c>
      <c r="U18" s="17" t="s">
        <v>262</v>
      </c>
      <c r="V18" s="17" t="s">
        <v>263</v>
      </c>
    </row>
    <row r="41" spans="1:1" x14ac:dyDescent="0.25">
      <c r="A41" s="9"/>
    </row>
    <row r="42" spans="1:1" x14ac:dyDescent="0.25">
      <c r="A42" s="9"/>
    </row>
    <row r="43" spans="1:1" x14ac:dyDescent="0.25">
      <c r="A43" s="9"/>
    </row>
    <row r="44" spans="1:1" x14ac:dyDescent="0.25">
      <c r="A44" s="9"/>
    </row>
    <row r="45" spans="1:1" x14ac:dyDescent="0.25">
      <c r="A45" s="9"/>
    </row>
    <row r="46" spans="1:1" x14ac:dyDescent="0.25">
      <c r="A46" s="9"/>
    </row>
    <row r="47" spans="1:1" x14ac:dyDescent="0.25">
      <c r="A47" s="9"/>
    </row>
    <row r="48" spans="1:1" x14ac:dyDescent="0.25">
      <c r="A48" s="9"/>
    </row>
    <row r="49" spans="1:1" x14ac:dyDescent="0.25">
      <c r="A49" s="9"/>
    </row>
    <row r="50" spans="1:1" x14ac:dyDescent="0.25">
      <c r="A50" s="9"/>
    </row>
    <row r="51" spans="1:1" x14ac:dyDescent="0.25">
      <c r="A51" s="9"/>
    </row>
    <row r="52" spans="1:1" x14ac:dyDescent="0.25">
      <c r="A52" s="9"/>
    </row>
    <row r="53" spans="1:1" x14ac:dyDescent="0.25">
      <c r="A53" s="9"/>
    </row>
    <row r="54" spans="1:1" x14ac:dyDescent="0.25">
      <c r="A54" s="11" t="s">
        <v>24</v>
      </c>
    </row>
  </sheetData>
  <mergeCells count="1">
    <mergeCell ref="B14:H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05F39-5FEA-40AF-8C41-F70AAB638DE2}">
  <dimension ref="A1:R241"/>
  <sheetViews>
    <sheetView workbookViewId="0">
      <selection activeCell="G121" sqref="G121"/>
    </sheetView>
  </sheetViews>
  <sheetFormatPr defaultRowHeight="15" x14ac:dyDescent="0.25"/>
  <sheetData>
    <row r="1" spans="1:18" ht="14.25" customHeight="1" x14ac:dyDescent="0.25">
      <c r="R1" s="115" t="s">
        <v>417</v>
      </c>
    </row>
    <row r="2" spans="1:18" x14ac:dyDescent="0.25">
      <c r="A2" s="17" t="s">
        <v>392</v>
      </c>
      <c r="R2" s="115"/>
    </row>
    <row r="3" spans="1:18" x14ac:dyDescent="0.25">
      <c r="A3" s="9" t="s">
        <v>388</v>
      </c>
      <c r="R3" s="115"/>
    </row>
    <row r="4" spans="1:18" x14ac:dyDescent="0.25">
      <c r="A4" s="9" t="s">
        <v>389</v>
      </c>
      <c r="R4" s="115"/>
    </row>
    <row r="5" spans="1:18" x14ac:dyDescent="0.25">
      <c r="A5" s="9" t="s">
        <v>390</v>
      </c>
      <c r="R5" s="115"/>
    </row>
    <row r="6" spans="1:18" x14ac:dyDescent="0.25">
      <c r="A6" s="9" t="s">
        <v>391</v>
      </c>
      <c r="R6" s="115"/>
    </row>
    <row r="7" spans="1:18" x14ac:dyDescent="0.25">
      <c r="A7" s="9" t="s">
        <v>394</v>
      </c>
      <c r="R7" s="115"/>
    </row>
    <row r="8" spans="1:18" x14ac:dyDescent="0.25">
      <c r="A8" s="9" t="s">
        <v>420</v>
      </c>
      <c r="R8" s="115"/>
    </row>
    <row r="9" spans="1:18" x14ac:dyDescent="0.25">
      <c r="R9" s="115"/>
    </row>
    <row r="10" spans="1:18" x14ac:dyDescent="0.25">
      <c r="R10" s="115"/>
    </row>
    <row r="11" spans="1:18" x14ac:dyDescent="0.25">
      <c r="R11" s="115"/>
    </row>
    <row r="12" spans="1:18" s="42" customFormat="1" x14ac:dyDescent="0.25">
      <c r="R12" s="115"/>
    </row>
    <row r="13" spans="1:18" x14ac:dyDescent="0.25">
      <c r="A13" s="9" t="s">
        <v>487</v>
      </c>
      <c r="P13" s="7">
        <f>(P17+P24)/2</f>
        <v>10</v>
      </c>
      <c r="Q13" s="8">
        <f>GRADING!C17</f>
        <v>0.1</v>
      </c>
      <c r="R13" s="115"/>
    </row>
    <row r="14" spans="1:18" x14ac:dyDescent="0.25">
      <c r="R14" s="115"/>
    </row>
    <row r="15" spans="1:18" x14ac:dyDescent="0.25">
      <c r="A15" s="45" t="s">
        <v>488</v>
      </c>
      <c r="B15" s="45"/>
      <c r="C15" s="45"/>
      <c r="D15" s="45"/>
      <c r="R15" s="115"/>
    </row>
    <row r="16" spans="1:18" x14ac:dyDescent="0.25">
      <c r="A16" s="55"/>
      <c r="B16" s="45"/>
      <c r="C16" s="45"/>
      <c r="D16" s="45"/>
      <c r="R16" s="115"/>
    </row>
    <row r="17" spans="1:18" x14ac:dyDescent="0.25">
      <c r="A17" s="55" t="s">
        <v>371</v>
      </c>
      <c r="B17" s="45"/>
      <c r="C17" s="45"/>
      <c r="D17" s="45"/>
      <c r="P17" s="30">
        <v>10</v>
      </c>
      <c r="Q17" s="61">
        <v>0.05</v>
      </c>
      <c r="R17" s="115"/>
    </row>
    <row r="18" spans="1:18" x14ac:dyDescent="0.25">
      <c r="A18" s="45"/>
      <c r="B18" s="55" t="s">
        <v>372</v>
      </c>
      <c r="C18" s="45"/>
      <c r="D18" s="45"/>
      <c r="Q18" s="29"/>
      <c r="R18" s="58"/>
    </row>
    <row r="19" spans="1:18" x14ac:dyDescent="0.25">
      <c r="A19" s="45"/>
      <c r="B19" s="56" t="s">
        <v>439</v>
      </c>
      <c r="C19" s="45"/>
      <c r="D19" s="45"/>
      <c r="R19" s="58"/>
    </row>
    <row r="20" spans="1:18" x14ac:dyDescent="0.25">
      <c r="A20" s="45"/>
      <c r="B20" s="60"/>
      <c r="C20" s="45"/>
      <c r="D20" s="45"/>
      <c r="R20" s="58"/>
    </row>
    <row r="21" spans="1:18" x14ac:dyDescent="0.25">
      <c r="A21" s="45"/>
      <c r="B21" s="56" t="s">
        <v>421</v>
      </c>
      <c r="C21" s="45"/>
      <c r="D21" s="45"/>
      <c r="R21" s="58"/>
    </row>
    <row r="22" spans="1:18" x14ac:dyDescent="0.25">
      <c r="A22" s="45"/>
      <c r="R22" s="58"/>
    </row>
    <row r="23" spans="1:18" x14ac:dyDescent="0.25">
      <c r="A23" s="55" t="s">
        <v>373</v>
      </c>
      <c r="B23" s="45"/>
      <c r="C23" s="45"/>
      <c r="D23" s="45"/>
      <c r="R23" s="58"/>
    </row>
    <row r="24" spans="1:18" x14ac:dyDescent="0.25">
      <c r="A24" s="45"/>
      <c r="B24" s="55" t="s">
        <v>489</v>
      </c>
      <c r="C24" s="45"/>
      <c r="D24" s="45"/>
      <c r="P24" s="30">
        <v>10</v>
      </c>
      <c r="Q24" s="62">
        <v>0.05</v>
      </c>
      <c r="R24" s="58"/>
    </row>
    <row r="25" spans="1:18" x14ac:dyDescent="0.25">
      <c r="A25" s="45"/>
      <c r="B25" s="45" t="s">
        <v>440</v>
      </c>
      <c r="C25" s="45"/>
      <c r="D25" s="45"/>
      <c r="R25" s="58"/>
    </row>
    <row r="26" spans="1:18" ht="15.75" thickBot="1" x14ac:dyDescent="0.3">
      <c r="A26" t="s">
        <v>375</v>
      </c>
      <c r="N26" s="9" t="s">
        <v>393</v>
      </c>
      <c r="R26" s="58"/>
    </row>
    <row r="27" spans="1:18" x14ac:dyDescent="0.25">
      <c r="A27" s="32"/>
      <c r="B27" s="33"/>
      <c r="C27" s="33"/>
      <c r="D27" s="33"/>
      <c r="E27" s="33"/>
      <c r="F27" s="33"/>
      <c r="G27" s="33"/>
      <c r="H27" s="33"/>
      <c r="I27" s="33"/>
      <c r="J27" s="33"/>
      <c r="K27" s="33"/>
      <c r="L27" s="33"/>
      <c r="M27" s="33"/>
      <c r="N27" s="32"/>
      <c r="O27" s="33"/>
      <c r="P27" s="33"/>
      <c r="Q27" s="34"/>
      <c r="R27" s="58"/>
    </row>
    <row r="28" spans="1:18" x14ac:dyDescent="0.25">
      <c r="A28" s="35"/>
      <c r="N28" s="35"/>
      <c r="Q28" s="36"/>
      <c r="R28" s="58"/>
    </row>
    <row r="29" spans="1:18" x14ac:dyDescent="0.25">
      <c r="A29" s="35"/>
      <c r="N29" s="35"/>
      <c r="Q29" s="36"/>
      <c r="R29" s="58"/>
    </row>
    <row r="30" spans="1:18" x14ac:dyDescent="0.25">
      <c r="A30" s="35"/>
      <c r="N30" s="35"/>
      <c r="Q30" s="36"/>
      <c r="R30" s="58"/>
    </row>
    <row r="31" spans="1:18" x14ac:dyDescent="0.25">
      <c r="A31" s="35"/>
      <c r="N31" s="35"/>
      <c r="Q31" s="36"/>
      <c r="R31" s="58"/>
    </row>
    <row r="32" spans="1:18" x14ac:dyDescent="0.25">
      <c r="A32" s="35"/>
      <c r="N32" s="35"/>
      <c r="Q32" s="36"/>
      <c r="R32" s="58"/>
    </row>
    <row r="33" spans="1:18" ht="15.75" thickBot="1" x14ac:dyDescent="0.3">
      <c r="A33" s="35"/>
      <c r="N33" s="37"/>
      <c r="O33" s="38"/>
      <c r="P33" s="38"/>
      <c r="Q33" s="39"/>
      <c r="R33" s="58"/>
    </row>
    <row r="34" spans="1:18" x14ac:dyDescent="0.25">
      <c r="A34" s="35"/>
      <c r="Q34" s="36"/>
      <c r="R34" s="58"/>
    </row>
    <row r="35" spans="1:18" x14ac:dyDescent="0.25">
      <c r="A35" s="35"/>
      <c r="Q35" s="36"/>
      <c r="R35" s="58"/>
    </row>
    <row r="36" spans="1:18" x14ac:dyDescent="0.25">
      <c r="A36" s="35"/>
      <c r="Q36" s="36"/>
      <c r="R36" s="58"/>
    </row>
    <row r="37" spans="1:18" x14ac:dyDescent="0.25">
      <c r="A37" s="35"/>
      <c r="Q37" s="36"/>
      <c r="R37" s="58"/>
    </row>
    <row r="38" spans="1:18" x14ac:dyDescent="0.25">
      <c r="A38" s="35"/>
      <c r="Q38" s="36"/>
      <c r="R38" s="58"/>
    </row>
    <row r="39" spans="1:18" x14ac:dyDescent="0.25">
      <c r="A39" s="35"/>
      <c r="Q39" s="36"/>
      <c r="R39" s="58"/>
    </row>
    <row r="40" spans="1:18" x14ac:dyDescent="0.25">
      <c r="A40" s="35"/>
      <c r="Q40" s="36"/>
      <c r="R40" s="58"/>
    </row>
    <row r="41" spans="1:18" x14ac:dyDescent="0.25">
      <c r="A41" s="35"/>
      <c r="Q41" s="36"/>
      <c r="R41" s="58"/>
    </row>
    <row r="42" spans="1:18" x14ac:dyDescent="0.25">
      <c r="A42" s="35"/>
      <c r="Q42" s="36"/>
      <c r="R42" s="58"/>
    </row>
    <row r="43" spans="1:18" x14ac:dyDescent="0.25">
      <c r="A43" s="35"/>
      <c r="Q43" s="36"/>
      <c r="R43" s="58"/>
    </row>
    <row r="44" spans="1:18" x14ac:dyDescent="0.25">
      <c r="A44" s="35"/>
      <c r="Q44" s="36"/>
      <c r="R44" s="58"/>
    </row>
    <row r="45" spans="1:18" x14ac:dyDescent="0.25">
      <c r="A45" s="35"/>
      <c r="Q45" s="36"/>
      <c r="R45" s="58"/>
    </row>
    <row r="46" spans="1:18" x14ac:dyDescent="0.25">
      <c r="A46" s="35"/>
      <c r="Q46" s="36"/>
      <c r="R46" s="58"/>
    </row>
    <row r="47" spans="1:18" x14ac:dyDescent="0.25">
      <c r="A47" s="35"/>
      <c r="Q47" s="36"/>
      <c r="R47" s="58"/>
    </row>
    <row r="48" spans="1:18" x14ac:dyDescent="0.25">
      <c r="A48" s="35"/>
      <c r="Q48" s="36"/>
      <c r="R48" s="58"/>
    </row>
    <row r="49" spans="1:18" x14ac:dyDescent="0.25">
      <c r="A49" s="35"/>
      <c r="Q49" s="36"/>
      <c r="R49" s="58"/>
    </row>
    <row r="50" spans="1:18" x14ac:dyDescent="0.25">
      <c r="A50" s="35"/>
      <c r="Q50" s="36"/>
      <c r="R50" s="58"/>
    </row>
    <row r="51" spans="1:18" x14ac:dyDescent="0.25">
      <c r="A51" s="35"/>
      <c r="Q51" s="36"/>
      <c r="R51" s="58"/>
    </row>
    <row r="52" spans="1:18" x14ac:dyDescent="0.25">
      <c r="A52" s="35"/>
      <c r="Q52" s="36"/>
      <c r="R52" s="58"/>
    </row>
    <row r="53" spans="1:18" ht="15.75" thickBot="1" x14ac:dyDescent="0.3">
      <c r="A53" s="37"/>
      <c r="B53" s="38"/>
      <c r="C53" s="38"/>
      <c r="D53" s="38"/>
      <c r="E53" s="38"/>
      <c r="F53" s="38"/>
      <c r="G53" s="38"/>
      <c r="H53" s="38"/>
      <c r="I53" s="38"/>
      <c r="J53" s="38"/>
      <c r="K53" s="38"/>
      <c r="L53" s="38"/>
      <c r="M53" s="38"/>
      <c r="N53" s="38"/>
      <c r="O53" s="38"/>
      <c r="P53" s="38"/>
      <c r="Q53" s="39"/>
      <c r="R53" s="58"/>
    </row>
    <row r="54" spans="1:18" x14ac:dyDescent="0.25">
      <c r="R54" s="58"/>
    </row>
    <row r="55" spans="1:18" s="42" customFormat="1" x14ac:dyDescent="0.25">
      <c r="R55" s="58"/>
    </row>
    <row r="56" spans="1:18" x14ac:dyDescent="0.25">
      <c r="A56" s="22" t="str">
        <f>GRADING!E18</f>
        <v>12.- POWER PIVOT: Column Chart of TotalAmount by Category with 3 slicers (CustomerCountry, ShippingCarrier, PaymentMethod)</v>
      </c>
      <c r="P56" s="40">
        <f>(P62+P68)/2</f>
        <v>10</v>
      </c>
      <c r="Q56" s="8">
        <f>GRADING!C18</f>
        <v>0.1</v>
      </c>
      <c r="R56" s="58"/>
    </row>
    <row r="57" spans="1:18" x14ac:dyDescent="0.25">
      <c r="B57" s="45" t="s">
        <v>441</v>
      </c>
      <c r="R57" s="58"/>
    </row>
    <row r="58" spans="1:18" x14ac:dyDescent="0.25">
      <c r="B58" s="55"/>
      <c r="R58" s="58"/>
    </row>
    <row r="59" spans="1:18" x14ac:dyDescent="0.25">
      <c r="B59" s="55" t="s">
        <v>376</v>
      </c>
      <c r="R59" s="58"/>
    </row>
    <row r="60" spans="1:18" x14ac:dyDescent="0.25">
      <c r="B60" s="56" t="s">
        <v>442</v>
      </c>
      <c r="Q60" s="29"/>
      <c r="R60" s="58"/>
    </row>
    <row r="61" spans="1:18" x14ac:dyDescent="0.25">
      <c r="B61" s="56" t="s">
        <v>377</v>
      </c>
      <c r="R61" s="58"/>
    </row>
    <row r="62" spans="1:18" x14ac:dyDescent="0.25">
      <c r="B62" s="55" t="s">
        <v>378</v>
      </c>
      <c r="P62" s="31">
        <v>10</v>
      </c>
      <c r="Q62" s="61">
        <v>0.05</v>
      </c>
      <c r="R62" s="58"/>
    </row>
    <row r="63" spans="1:18" x14ac:dyDescent="0.25">
      <c r="B63" s="55" t="s">
        <v>379</v>
      </c>
      <c r="R63" s="58"/>
    </row>
    <row r="64" spans="1:18" x14ac:dyDescent="0.25">
      <c r="B64" s="56" t="s">
        <v>369</v>
      </c>
      <c r="R64" s="58"/>
    </row>
    <row r="65" spans="1:18" x14ac:dyDescent="0.25">
      <c r="B65" s="56" t="s">
        <v>328</v>
      </c>
      <c r="R65" s="58"/>
    </row>
    <row r="66" spans="1:18" x14ac:dyDescent="0.25">
      <c r="B66" s="56" t="s">
        <v>260</v>
      </c>
      <c r="R66" s="58"/>
    </row>
    <row r="67" spans="1:18" x14ac:dyDescent="0.25">
      <c r="B67" s="60" t="s">
        <v>422</v>
      </c>
      <c r="R67" s="58"/>
    </row>
    <row r="68" spans="1:18" x14ac:dyDescent="0.25">
      <c r="B68" s="55" t="s">
        <v>443</v>
      </c>
      <c r="P68" s="30">
        <v>10</v>
      </c>
      <c r="Q68" s="41">
        <v>0.05</v>
      </c>
      <c r="R68" s="58"/>
    </row>
    <row r="69" spans="1:18" x14ac:dyDescent="0.25">
      <c r="B69" s="55"/>
      <c r="R69" s="58"/>
    </row>
    <row r="70" spans="1:18" ht="15.75" thickBot="1" x14ac:dyDescent="0.3">
      <c r="B70" s="56" t="s">
        <v>374</v>
      </c>
      <c r="O70" s="9" t="s">
        <v>393</v>
      </c>
      <c r="R70" s="58"/>
    </row>
    <row r="71" spans="1:18" x14ac:dyDescent="0.25">
      <c r="A71" s="32"/>
      <c r="B71" s="33"/>
      <c r="C71" s="33"/>
      <c r="D71" s="33"/>
      <c r="E71" s="33"/>
      <c r="F71" s="33"/>
      <c r="G71" s="33"/>
      <c r="H71" s="33"/>
      <c r="I71" s="33"/>
      <c r="J71" s="33"/>
      <c r="K71" s="33"/>
      <c r="L71" s="33"/>
      <c r="M71" s="33"/>
      <c r="N71" s="33"/>
      <c r="O71" s="32"/>
      <c r="P71" s="33"/>
      <c r="Q71" s="34"/>
      <c r="R71" s="58"/>
    </row>
    <row r="72" spans="1:18" x14ac:dyDescent="0.25">
      <c r="A72" s="35"/>
      <c r="O72" s="35"/>
      <c r="Q72" s="36"/>
      <c r="R72" s="58"/>
    </row>
    <row r="73" spans="1:18" x14ac:dyDescent="0.25">
      <c r="A73" s="35"/>
      <c r="O73" s="35"/>
      <c r="Q73" s="36"/>
      <c r="R73" s="58"/>
    </row>
    <row r="74" spans="1:18" x14ac:dyDescent="0.25">
      <c r="A74" s="35"/>
      <c r="O74" s="35"/>
      <c r="Q74" s="36"/>
      <c r="R74" s="58"/>
    </row>
    <row r="75" spans="1:18" ht="15.75" thickBot="1" x14ac:dyDescent="0.3">
      <c r="A75" s="35"/>
      <c r="O75" s="37"/>
      <c r="P75" s="38"/>
      <c r="Q75" s="39"/>
      <c r="R75" s="58"/>
    </row>
    <row r="76" spans="1:18" x14ac:dyDescent="0.25">
      <c r="A76" s="35"/>
      <c r="Q76" s="36"/>
      <c r="R76" s="58"/>
    </row>
    <row r="77" spans="1:18" x14ac:dyDescent="0.25">
      <c r="A77" s="35"/>
      <c r="Q77" s="36"/>
      <c r="R77" s="58"/>
    </row>
    <row r="78" spans="1:18" x14ac:dyDescent="0.25">
      <c r="A78" s="35"/>
      <c r="Q78" s="36"/>
      <c r="R78" s="58"/>
    </row>
    <row r="79" spans="1:18" x14ac:dyDescent="0.25">
      <c r="A79" s="35"/>
      <c r="Q79" s="36"/>
      <c r="R79" s="58"/>
    </row>
    <row r="80" spans="1:18" x14ac:dyDescent="0.25">
      <c r="A80" s="35"/>
      <c r="Q80" s="36"/>
      <c r="R80" s="58"/>
    </row>
    <row r="81" spans="1:18" x14ac:dyDescent="0.25">
      <c r="A81" s="35"/>
      <c r="Q81" s="36"/>
      <c r="R81" s="58"/>
    </row>
    <row r="82" spans="1:18" x14ac:dyDescent="0.25">
      <c r="A82" s="35"/>
      <c r="Q82" s="36"/>
      <c r="R82" s="58"/>
    </row>
    <row r="83" spans="1:18" x14ac:dyDescent="0.25">
      <c r="A83" s="35"/>
      <c r="Q83" s="36"/>
      <c r="R83" s="58"/>
    </row>
    <row r="84" spans="1:18" x14ac:dyDescent="0.25">
      <c r="A84" s="35"/>
      <c r="Q84" s="36"/>
      <c r="R84" s="58"/>
    </row>
    <row r="85" spans="1:18" x14ac:dyDescent="0.25">
      <c r="A85" s="35"/>
      <c r="Q85" s="36"/>
      <c r="R85" s="58"/>
    </row>
    <row r="86" spans="1:18" x14ac:dyDescent="0.25">
      <c r="A86" s="35"/>
      <c r="Q86" s="36"/>
      <c r="R86" s="58"/>
    </row>
    <row r="87" spans="1:18" x14ac:dyDescent="0.25">
      <c r="A87" s="35"/>
      <c r="Q87" s="36"/>
      <c r="R87" s="58"/>
    </row>
    <row r="88" spans="1:18" x14ac:dyDescent="0.25">
      <c r="A88" s="35"/>
      <c r="Q88" s="36"/>
      <c r="R88" s="58"/>
    </row>
    <row r="89" spans="1:18" x14ac:dyDescent="0.25">
      <c r="A89" s="35"/>
      <c r="Q89" s="36"/>
      <c r="R89" s="58"/>
    </row>
    <row r="90" spans="1:18" x14ac:dyDescent="0.25">
      <c r="A90" s="35"/>
      <c r="Q90" s="36"/>
      <c r="R90" s="58"/>
    </row>
    <row r="91" spans="1:18" x14ac:dyDescent="0.25">
      <c r="A91" s="35"/>
      <c r="Q91" s="36"/>
      <c r="R91" s="58"/>
    </row>
    <row r="92" spans="1:18" x14ac:dyDescent="0.25">
      <c r="A92" s="35"/>
      <c r="Q92" s="36"/>
      <c r="R92" s="58"/>
    </row>
    <row r="93" spans="1:18" x14ac:dyDescent="0.25">
      <c r="A93" s="35"/>
      <c r="Q93" s="36"/>
      <c r="R93" s="58"/>
    </row>
    <row r="94" spans="1:18" x14ac:dyDescent="0.25">
      <c r="A94" s="35"/>
      <c r="Q94" s="36"/>
      <c r="R94" s="58"/>
    </row>
    <row r="95" spans="1:18" x14ac:dyDescent="0.25">
      <c r="A95" s="35"/>
      <c r="Q95" s="36"/>
      <c r="R95" s="58"/>
    </row>
    <row r="96" spans="1:18" x14ac:dyDescent="0.25">
      <c r="A96" s="35"/>
      <c r="Q96" s="36"/>
      <c r="R96" s="58"/>
    </row>
    <row r="97" spans="1:18" x14ac:dyDescent="0.25">
      <c r="A97" s="35"/>
      <c r="Q97" s="36"/>
      <c r="R97" s="58"/>
    </row>
    <row r="98" spans="1:18" x14ac:dyDescent="0.25">
      <c r="A98" s="35"/>
      <c r="Q98" s="36"/>
      <c r="R98" s="58"/>
    </row>
    <row r="99" spans="1:18" x14ac:dyDescent="0.25">
      <c r="A99" s="35"/>
      <c r="Q99" s="36"/>
      <c r="R99" s="58"/>
    </row>
    <row r="100" spans="1:18" ht="15.75" thickBot="1" x14ac:dyDescent="0.3">
      <c r="A100" s="37"/>
      <c r="B100" s="38"/>
      <c r="C100" s="38"/>
      <c r="D100" s="38"/>
      <c r="E100" s="38"/>
      <c r="F100" s="38"/>
      <c r="G100" s="38"/>
      <c r="H100" s="38"/>
      <c r="I100" s="38"/>
      <c r="J100" s="38"/>
      <c r="K100" s="38"/>
      <c r="L100" s="38"/>
      <c r="M100" s="38"/>
      <c r="N100" s="38"/>
      <c r="O100" s="38"/>
      <c r="P100" s="38"/>
      <c r="Q100" s="39"/>
      <c r="R100" s="58"/>
    </row>
    <row r="101" spans="1:18" x14ac:dyDescent="0.25">
      <c r="R101" s="58"/>
    </row>
    <row r="102" spans="1:18" s="42" customFormat="1" x14ac:dyDescent="0.25">
      <c r="R102" s="58"/>
    </row>
    <row r="103" spans="1:18" x14ac:dyDescent="0.25">
      <c r="A103" s="12" t="s">
        <v>451</v>
      </c>
      <c r="P103" s="7">
        <v>10</v>
      </c>
      <c r="Q103" s="8">
        <f>GRADING!C19</f>
        <v>0.1</v>
      </c>
      <c r="R103" s="58"/>
    </row>
    <row r="104" spans="1:18" x14ac:dyDescent="0.25">
      <c r="B104" s="45" t="s">
        <v>452</v>
      </c>
      <c r="R104" s="58"/>
    </row>
    <row r="105" spans="1:18" x14ac:dyDescent="0.25">
      <c r="B105" s="45"/>
      <c r="R105" s="58"/>
    </row>
    <row r="106" spans="1:18" x14ac:dyDescent="0.25">
      <c r="B106" s="45" t="s">
        <v>453</v>
      </c>
      <c r="R106" s="58"/>
    </row>
    <row r="107" spans="1:18" x14ac:dyDescent="0.25">
      <c r="B107" s="45" t="s">
        <v>380</v>
      </c>
      <c r="R107" s="58"/>
    </row>
    <row r="108" spans="1:18" x14ac:dyDescent="0.25">
      <c r="B108" s="45"/>
      <c r="C108" s="92" t="s">
        <v>454</v>
      </c>
      <c r="R108" s="58"/>
    </row>
    <row r="109" spans="1:18" x14ac:dyDescent="0.25">
      <c r="B109" s="45"/>
      <c r="C109" s="92" t="s">
        <v>381</v>
      </c>
      <c r="R109" s="58"/>
    </row>
    <row r="110" spans="1:18" x14ac:dyDescent="0.25">
      <c r="B110" s="45" t="s">
        <v>455</v>
      </c>
      <c r="R110" s="58"/>
    </row>
    <row r="111" spans="1:18" x14ac:dyDescent="0.25">
      <c r="B111" s="45" t="s">
        <v>490</v>
      </c>
      <c r="R111" s="58"/>
    </row>
    <row r="112" spans="1:18" x14ac:dyDescent="0.25">
      <c r="B112" s="45" t="s">
        <v>456</v>
      </c>
      <c r="R112" s="58"/>
    </row>
    <row r="113" spans="1:18" x14ac:dyDescent="0.25">
      <c r="B113" s="45" t="s">
        <v>457</v>
      </c>
      <c r="R113" s="58"/>
    </row>
    <row r="114" spans="1:18" ht="15.75" thickBot="1" x14ac:dyDescent="0.3">
      <c r="B114" s="45" t="s">
        <v>374</v>
      </c>
      <c r="O114" s="9" t="s">
        <v>393</v>
      </c>
      <c r="R114" s="58"/>
    </row>
    <row r="115" spans="1:18" x14ac:dyDescent="0.25">
      <c r="A115" s="32"/>
      <c r="B115" s="33"/>
      <c r="C115" s="33"/>
      <c r="D115" s="33"/>
      <c r="E115" s="33"/>
      <c r="F115" s="33"/>
      <c r="G115" s="33"/>
      <c r="H115" s="33"/>
      <c r="I115" s="33"/>
      <c r="J115" s="33"/>
      <c r="K115" s="33"/>
      <c r="L115" s="33"/>
      <c r="M115" s="33"/>
      <c r="N115" s="33"/>
      <c r="O115" s="32"/>
      <c r="P115" s="33"/>
      <c r="Q115" s="34"/>
      <c r="R115" s="58"/>
    </row>
    <row r="116" spans="1:18" x14ac:dyDescent="0.25">
      <c r="A116" s="35"/>
      <c r="O116" s="35"/>
      <c r="Q116" s="36"/>
      <c r="R116" s="58"/>
    </row>
    <row r="117" spans="1:18" x14ac:dyDescent="0.25">
      <c r="A117" s="35"/>
      <c r="O117" s="35"/>
      <c r="Q117" s="36"/>
      <c r="R117" s="58"/>
    </row>
    <row r="118" spans="1:18" x14ac:dyDescent="0.25">
      <c r="A118" s="35"/>
      <c r="O118" s="35"/>
      <c r="Q118" s="36"/>
      <c r="R118" s="58"/>
    </row>
    <row r="119" spans="1:18" ht="15.75" thickBot="1" x14ac:dyDescent="0.3">
      <c r="A119" s="35"/>
      <c r="O119" s="37"/>
      <c r="P119" s="38"/>
      <c r="Q119" s="39"/>
      <c r="R119" s="58"/>
    </row>
    <row r="120" spans="1:18" x14ac:dyDescent="0.25">
      <c r="A120" s="35"/>
      <c r="Q120" s="36"/>
      <c r="R120" s="58"/>
    </row>
    <row r="121" spans="1:18" x14ac:dyDescent="0.25">
      <c r="A121" s="35"/>
      <c r="Q121" s="36"/>
      <c r="R121" s="58"/>
    </row>
    <row r="122" spans="1:18" x14ac:dyDescent="0.25">
      <c r="A122" s="35"/>
      <c r="Q122" s="36"/>
      <c r="R122" s="58"/>
    </row>
    <row r="123" spans="1:18" x14ac:dyDescent="0.25">
      <c r="A123" s="35"/>
      <c r="Q123" s="36"/>
      <c r="R123" s="58"/>
    </row>
    <row r="124" spans="1:18" x14ac:dyDescent="0.25">
      <c r="A124" s="35"/>
      <c r="Q124" s="36"/>
      <c r="R124" s="58"/>
    </row>
    <row r="125" spans="1:18" x14ac:dyDescent="0.25">
      <c r="A125" s="35"/>
      <c r="Q125" s="36"/>
      <c r="R125" s="58"/>
    </row>
    <row r="126" spans="1:18" x14ac:dyDescent="0.25">
      <c r="A126" s="35"/>
      <c r="Q126" s="36"/>
      <c r="R126" s="58"/>
    </row>
    <row r="127" spans="1:18" x14ac:dyDescent="0.25">
      <c r="A127" s="35"/>
      <c r="Q127" s="36"/>
      <c r="R127" s="58"/>
    </row>
    <row r="128" spans="1:18" x14ac:dyDescent="0.25">
      <c r="A128" s="35"/>
      <c r="Q128" s="36"/>
      <c r="R128" s="58"/>
    </row>
    <row r="129" spans="1:18" x14ac:dyDescent="0.25">
      <c r="A129" s="35"/>
      <c r="Q129" s="36"/>
      <c r="R129" s="58"/>
    </row>
    <row r="130" spans="1:18" x14ac:dyDescent="0.25">
      <c r="A130" s="35"/>
      <c r="Q130" s="36"/>
      <c r="R130" s="58"/>
    </row>
    <row r="131" spans="1:18" x14ac:dyDescent="0.25">
      <c r="A131" s="35"/>
      <c r="Q131" s="36"/>
      <c r="R131" s="58"/>
    </row>
    <row r="132" spans="1:18" x14ac:dyDescent="0.25">
      <c r="A132" s="35"/>
      <c r="Q132" s="36"/>
      <c r="R132" s="58"/>
    </row>
    <row r="133" spans="1:18" x14ac:dyDescent="0.25">
      <c r="A133" s="35"/>
      <c r="Q133" s="36"/>
      <c r="R133" s="58"/>
    </row>
    <row r="134" spans="1:18" x14ac:dyDescent="0.25">
      <c r="A134" s="35"/>
      <c r="Q134" s="36"/>
      <c r="R134" s="58"/>
    </row>
    <row r="135" spans="1:18" x14ac:dyDescent="0.25">
      <c r="A135" s="35"/>
      <c r="Q135" s="36"/>
      <c r="R135" s="58"/>
    </row>
    <row r="136" spans="1:18" x14ac:dyDescent="0.25">
      <c r="A136" s="35"/>
      <c r="Q136" s="36"/>
      <c r="R136" s="58"/>
    </row>
    <row r="137" spans="1:18" x14ac:dyDescent="0.25">
      <c r="A137" s="35"/>
      <c r="Q137" s="36"/>
      <c r="R137" s="58"/>
    </row>
    <row r="138" spans="1:18" x14ac:dyDescent="0.25">
      <c r="A138" s="35"/>
      <c r="Q138" s="36"/>
      <c r="R138" s="58"/>
    </row>
    <row r="139" spans="1:18" x14ac:dyDescent="0.25">
      <c r="A139" s="35"/>
      <c r="Q139" s="36"/>
      <c r="R139" s="58"/>
    </row>
    <row r="140" spans="1:18" x14ac:dyDescent="0.25">
      <c r="A140" s="35"/>
      <c r="Q140" s="36"/>
      <c r="R140" s="58"/>
    </row>
    <row r="141" spans="1:18" x14ac:dyDescent="0.25">
      <c r="A141" s="35"/>
      <c r="Q141" s="36"/>
      <c r="R141" s="58"/>
    </row>
    <row r="142" spans="1:18" x14ac:dyDescent="0.25">
      <c r="A142" s="35"/>
      <c r="Q142" s="36"/>
      <c r="R142" s="58"/>
    </row>
    <row r="143" spans="1:18" ht="15.75" thickBot="1" x14ac:dyDescent="0.3">
      <c r="A143" s="37"/>
      <c r="B143" s="38"/>
      <c r="C143" s="38"/>
      <c r="D143" s="38"/>
      <c r="E143" s="38"/>
      <c r="F143" s="38"/>
      <c r="G143" s="38"/>
      <c r="H143" s="38"/>
      <c r="I143" s="38"/>
      <c r="J143" s="38"/>
      <c r="K143" s="38"/>
      <c r="L143" s="38"/>
      <c r="M143" s="38"/>
      <c r="N143" s="38"/>
      <c r="O143" s="38"/>
      <c r="P143" s="38"/>
      <c r="Q143" s="39"/>
      <c r="R143" s="58"/>
    </row>
    <row r="144" spans="1:18" s="42" customFormat="1" x14ac:dyDescent="0.25">
      <c r="R144" s="58"/>
    </row>
    <row r="145" spans="1:18" x14ac:dyDescent="0.25">
      <c r="A145" s="12" t="s">
        <v>458</v>
      </c>
      <c r="P145" s="7">
        <v>10</v>
      </c>
      <c r="Q145" s="8">
        <f>GRADING!C20</f>
        <v>0.1</v>
      </c>
      <c r="R145" s="58"/>
    </row>
    <row r="146" spans="1:18" x14ac:dyDescent="0.25">
      <c r="R146" s="58"/>
    </row>
    <row r="147" spans="1:18" x14ac:dyDescent="0.25">
      <c r="B147" s="45" t="s">
        <v>459</v>
      </c>
      <c r="R147" s="58"/>
    </row>
    <row r="148" spans="1:18" x14ac:dyDescent="0.25">
      <c r="B148" s="55"/>
      <c r="R148" s="58"/>
    </row>
    <row r="149" spans="1:18" x14ac:dyDescent="0.25">
      <c r="B149" s="55" t="s">
        <v>460</v>
      </c>
      <c r="R149" s="58"/>
    </row>
    <row r="150" spans="1:18" x14ac:dyDescent="0.25">
      <c r="B150" s="56" t="s">
        <v>382</v>
      </c>
      <c r="R150" s="58"/>
    </row>
    <row r="151" spans="1:18" x14ac:dyDescent="0.25">
      <c r="B151" s="56" t="s">
        <v>383</v>
      </c>
      <c r="R151" s="58"/>
    </row>
    <row r="152" spans="1:18" x14ac:dyDescent="0.25">
      <c r="B152" s="56" t="s">
        <v>461</v>
      </c>
      <c r="R152" s="58"/>
    </row>
    <row r="153" spans="1:18" x14ac:dyDescent="0.25">
      <c r="B153" s="57" t="s">
        <v>462</v>
      </c>
      <c r="R153" s="58"/>
    </row>
    <row r="154" spans="1:18" x14ac:dyDescent="0.25">
      <c r="B154" s="57" t="s">
        <v>463</v>
      </c>
      <c r="R154" s="58"/>
    </row>
    <row r="155" spans="1:18" x14ac:dyDescent="0.25">
      <c r="B155" s="57" t="s">
        <v>464</v>
      </c>
      <c r="R155" s="58"/>
    </row>
    <row r="156" spans="1:18" x14ac:dyDescent="0.25">
      <c r="B156" s="55" t="s">
        <v>465</v>
      </c>
      <c r="R156" s="58"/>
    </row>
    <row r="157" spans="1:18" x14ac:dyDescent="0.25">
      <c r="B157" s="55" t="s">
        <v>491</v>
      </c>
      <c r="R157" s="58"/>
    </row>
    <row r="158" spans="1:18" x14ac:dyDescent="0.25">
      <c r="B158" s="56" t="s">
        <v>466</v>
      </c>
      <c r="R158" s="58"/>
    </row>
    <row r="159" spans="1:18" x14ac:dyDescent="0.25">
      <c r="B159" s="56" t="s">
        <v>467</v>
      </c>
      <c r="R159" s="58"/>
    </row>
    <row r="160" spans="1:18" x14ac:dyDescent="0.25">
      <c r="B160" s="56"/>
      <c r="R160" s="58"/>
    </row>
    <row r="161" spans="1:18" ht="15.75" thickBot="1" x14ac:dyDescent="0.3">
      <c r="B161" s="56" t="s">
        <v>374</v>
      </c>
      <c r="N161" s="9" t="s">
        <v>393</v>
      </c>
      <c r="R161" s="58"/>
    </row>
    <row r="162" spans="1:18" x14ac:dyDescent="0.25">
      <c r="A162" s="32"/>
      <c r="B162" s="43"/>
      <c r="C162" s="33"/>
      <c r="D162" s="33"/>
      <c r="E162" s="33"/>
      <c r="F162" s="33"/>
      <c r="G162" s="33"/>
      <c r="H162" s="33"/>
      <c r="I162" s="33"/>
      <c r="J162" s="33"/>
      <c r="K162" s="33"/>
      <c r="L162" s="33"/>
      <c r="M162" s="33"/>
      <c r="N162" s="32"/>
      <c r="O162" s="33"/>
      <c r="P162" s="34"/>
      <c r="R162" s="58"/>
    </row>
    <row r="163" spans="1:18" x14ac:dyDescent="0.25">
      <c r="A163" s="35"/>
      <c r="N163" s="35"/>
      <c r="P163" s="36"/>
      <c r="R163" s="58"/>
    </row>
    <row r="164" spans="1:18" x14ac:dyDescent="0.25">
      <c r="A164" s="35"/>
      <c r="N164" s="35"/>
      <c r="P164" s="36"/>
      <c r="R164" s="58"/>
    </row>
    <row r="165" spans="1:18" ht="15.75" thickBot="1" x14ac:dyDescent="0.3">
      <c r="A165" s="35"/>
      <c r="N165" s="37"/>
      <c r="O165" s="38"/>
      <c r="P165" s="39"/>
      <c r="R165" s="58"/>
    </row>
    <row r="166" spans="1:18" x14ac:dyDescent="0.25">
      <c r="A166" s="35"/>
      <c r="P166" s="36"/>
      <c r="R166" s="58"/>
    </row>
    <row r="167" spans="1:18" x14ac:dyDescent="0.25">
      <c r="A167" s="35"/>
      <c r="P167" s="36"/>
      <c r="R167" s="58"/>
    </row>
    <row r="168" spans="1:18" x14ac:dyDescent="0.25">
      <c r="A168" s="35"/>
      <c r="P168" s="36"/>
      <c r="R168" s="58"/>
    </row>
    <row r="169" spans="1:18" x14ac:dyDescent="0.25">
      <c r="A169" s="35"/>
      <c r="P169" s="36"/>
      <c r="R169" s="58"/>
    </row>
    <row r="170" spans="1:18" x14ac:dyDescent="0.25">
      <c r="A170" s="35"/>
      <c r="P170" s="36"/>
      <c r="R170" s="58"/>
    </row>
    <row r="171" spans="1:18" x14ac:dyDescent="0.25">
      <c r="A171" s="35"/>
      <c r="P171" s="36"/>
      <c r="R171" s="58"/>
    </row>
    <row r="172" spans="1:18" x14ac:dyDescent="0.25">
      <c r="A172" s="35"/>
      <c r="P172" s="36"/>
      <c r="R172" s="58"/>
    </row>
    <row r="173" spans="1:18" x14ac:dyDescent="0.25">
      <c r="A173" s="35"/>
      <c r="P173" s="36"/>
      <c r="R173" s="58"/>
    </row>
    <row r="174" spans="1:18" x14ac:dyDescent="0.25">
      <c r="A174" s="35"/>
      <c r="P174" s="36"/>
      <c r="R174" s="58"/>
    </row>
    <row r="175" spans="1:18" x14ac:dyDescent="0.25">
      <c r="A175" s="35"/>
      <c r="P175" s="36"/>
      <c r="R175" s="58"/>
    </row>
    <row r="176" spans="1:18" x14ac:dyDescent="0.25">
      <c r="A176" s="35"/>
      <c r="P176" s="36"/>
      <c r="R176" s="58"/>
    </row>
    <row r="177" spans="1:18" x14ac:dyDescent="0.25">
      <c r="A177" s="35"/>
      <c r="P177" s="36"/>
      <c r="R177" s="58"/>
    </row>
    <row r="178" spans="1:18" x14ac:dyDescent="0.25">
      <c r="A178" s="35"/>
      <c r="P178" s="36"/>
      <c r="R178" s="58"/>
    </row>
    <row r="179" spans="1:18" x14ac:dyDescent="0.25">
      <c r="A179" s="35"/>
      <c r="P179" s="36"/>
      <c r="R179" s="58"/>
    </row>
    <row r="180" spans="1:18" x14ac:dyDescent="0.25">
      <c r="A180" s="35"/>
      <c r="P180" s="36"/>
      <c r="R180" s="58"/>
    </row>
    <row r="181" spans="1:18" x14ac:dyDescent="0.25">
      <c r="A181" s="35"/>
      <c r="P181" s="36"/>
      <c r="R181" s="58"/>
    </row>
    <row r="182" spans="1:18" x14ac:dyDescent="0.25">
      <c r="A182" s="35"/>
      <c r="P182" s="36"/>
      <c r="R182" s="58"/>
    </row>
    <row r="183" spans="1:18" x14ac:dyDescent="0.25">
      <c r="A183" s="35"/>
      <c r="P183" s="36"/>
      <c r="R183" s="58"/>
    </row>
    <row r="184" spans="1:18" x14ac:dyDescent="0.25">
      <c r="A184" s="35"/>
      <c r="P184" s="36"/>
      <c r="R184" s="58"/>
    </row>
    <row r="185" spans="1:18" x14ac:dyDescent="0.25">
      <c r="A185" s="35"/>
      <c r="P185" s="36"/>
      <c r="R185" s="58"/>
    </row>
    <row r="186" spans="1:18" x14ac:dyDescent="0.25">
      <c r="A186" s="35"/>
      <c r="P186" s="36"/>
      <c r="R186" s="58"/>
    </row>
    <row r="187" spans="1:18" x14ac:dyDescent="0.25">
      <c r="A187" s="35"/>
      <c r="P187" s="36"/>
      <c r="R187" s="58"/>
    </row>
    <row r="188" spans="1:18" x14ac:dyDescent="0.25">
      <c r="A188" s="35"/>
      <c r="P188" s="36"/>
      <c r="R188" s="58"/>
    </row>
    <row r="189" spans="1:18" x14ac:dyDescent="0.25">
      <c r="A189" s="35"/>
      <c r="P189" s="36"/>
      <c r="R189" s="58"/>
    </row>
    <row r="190" spans="1:18" x14ac:dyDescent="0.25">
      <c r="A190" s="35"/>
      <c r="P190" s="36"/>
      <c r="R190" s="58"/>
    </row>
    <row r="191" spans="1:18" x14ac:dyDescent="0.25">
      <c r="A191" s="35"/>
      <c r="P191" s="36"/>
      <c r="R191" s="58"/>
    </row>
    <row r="192" spans="1:18" x14ac:dyDescent="0.25">
      <c r="A192" s="35"/>
      <c r="P192" s="36"/>
      <c r="R192" s="58"/>
    </row>
    <row r="193" spans="1:18" ht="15.75" thickBot="1" x14ac:dyDescent="0.3">
      <c r="A193" s="37"/>
      <c r="B193" s="38"/>
      <c r="C193" s="38"/>
      <c r="D193" s="38"/>
      <c r="E193" s="38"/>
      <c r="F193" s="38"/>
      <c r="G193" s="38"/>
      <c r="H193" s="38"/>
      <c r="I193" s="38"/>
      <c r="J193" s="38"/>
      <c r="K193" s="38"/>
      <c r="L193" s="38"/>
      <c r="M193" s="38"/>
      <c r="N193" s="38"/>
      <c r="O193" s="38"/>
      <c r="P193" s="39"/>
      <c r="R193" s="58"/>
    </row>
    <row r="194" spans="1:18" s="42" customFormat="1" x14ac:dyDescent="0.25">
      <c r="R194" s="58"/>
    </row>
    <row r="195" spans="1:18" x14ac:dyDescent="0.25">
      <c r="A195" s="12" t="s">
        <v>384</v>
      </c>
      <c r="O195" s="7">
        <v>10</v>
      </c>
      <c r="P195" s="8">
        <f>GRADING!C21</f>
        <v>0.1</v>
      </c>
      <c r="R195" s="58"/>
    </row>
    <row r="196" spans="1:18" x14ac:dyDescent="0.25">
      <c r="R196" s="58"/>
    </row>
    <row r="197" spans="1:18" x14ac:dyDescent="0.25">
      <c r="B197" s="45" t="s">
        <v>468</v>
      </c>
      <c r="R197" s="58"/>
    </row>
    <row r="198" spans="1:18" x14ac:dyDescent="0.25">
      <c r="B198" s="55"/>
      <c r="R198" s="58"/>
    </row>
    <row r="199" spans="1:18" x14ac:dyDescent="0.25">
      <c r="B199" s="55" t="s">
        <v>460</v>
      </c>
      <c r="R199" s="58"/>
    </row>
    <row r="200" spans="1:18" x14ac:dyDescent="0.25">
      <c r="B200" s="56" t="s">
        <v>385</v>
      </c>
      <c r="R200" s="58"/>
    </row>
    <row r="201" spans="1:18" x14ac:dyDescent="0.25">
      <c r="B201" s="56" t="s">
        <v>383</v>
      </c>
      <c r="R201" s="58"/>
    </row>
    <row r="202" spans="1:18" x14ac:dyDescent="0.25">
      <c r="B202" s="57" t="s">
        <v>469</v>
      </c>
      <c r="R202" s="58"/>
    </row>
    <row r="203" spans="1:18" x14ac:dyDescent="0.25">
      <c r="B203" s="57" t="s">
        <v>470</v>
      </c>
      <c r="R203" s="58"/>
    </row>
    <row r="204" spans="1:18" x14ac:dyDescent="0.25">
      <c r="B204" s="55" t="s">
        <v>471</v>
      </c>
      <c r="R204" s="58"/>
    </row>
    <row r="205" spans="1:18" x14ac:dyDescent="0.25">
      <c r="B205" s="56" t="s">
        <v>472</v>
      </c>
      <c r="R205" s="58"/>
    </row>
    <row r="206" spans="1:18" x14ac:dyDescent="0.25">
      <c r="B206" s="56" t="s">
        <v>473</v>
      </c>
      <c r="R206" s="58"/>
    </row>
    <row r="207" spans="1:18" x14ac:dyDescent="0.25">
      <c r="B207" s="55" t="s">
        <v>474</v>
      </c>
      <c r="R207" s="58"/>
    </row>
    <row r="208" spans="1:18" ht="15.75" thickBot="1" x14ac:dyDescent="0.3">
      <c r="B208" s="45" t="s">
        <v>386</v>
      </c>
      <c r="C208" s="93" t="s">
        <v>475</v>
      </c>
      <c r="N208" s="9" t="s">
        <v>393</v>
      </c>
      <c r="R208" s="58"/>
    </row>
    <row r="209" spans="1:18" x14ac:dyDescent="0.25">
      <c r="A209" s="32"/>
      <c r="B209" s="33"/>
      <c r="C209" s="94" t="s">
        <v>476</v>
      </c>
      <c r="D209" s="33"/>
      <c r="E209" s="33"/>
      <c r="F209" s="33"/>
      <c r="G209" s="33"/>
      <c r="H209" s="33"/>
      <c r="I209" s="33"/>
      <c r="J209" s="33"/>
      <c r="K209" s="33"/>
      <c r="L209" s="33"/>
      <c r="M209" s="33"/>
      <c r="N209" s="32"/>
      <c r="O209" s="33"/>
      <c r="P209" s="34"/>
      <c r="R209" s="58"/>
    </row>
    <row r="210" spans="1:18" x14ac:dyDescent="0.25">
      <c r="A210" s="35"/>
      <c r="C210" s="93" t="s">
        <v>477</v>
      </c>
      <c r="N210" s="35"/>
      <c r="P210" s="36"/>
      <c r="R210" s="58"/>
    </row>
    <row r="211" spans="1:18" x14ac:dyDescent="0.25">
      <c r="A211" s="35"/>
      <c r="C211" s="93" t="s">
        <v>478</v>
      </c>
      <c r="N211" s="35"/>
      <c r="P211" s="36"/>
      <c r="R211" s="58"/>
    </row>
    <row r="212" spans="1:18" ht="15.75" thickBot="1" x14ac:dyDescent="0.3">
      <c r="A212" s="35"/>
      <c r="C212" s="93" t="s">
        <v>479</v>
      </c>
      <c r="N212" s="37"/>
      <c r="O212" s="38"/>
      <c r="P212" s="39"/>
      <c r="R212" s="58"/>
    </row>
    <row r="213" spans="1:18" x14ac:dyDescent="0.25">
      <c r="A213" s="35"/>
      <c r="B213" t="s">
        <v>480</v>
      </c>
      <c r="P213" s="36"/>
      <c r="R213" s="58"/>
    </row>
    <row r="214" spans="1:18" x14ac:dyDescent="0.25">
      <c r="A214" s="35"/>
      <c r="B214" t="s">
        <v>386</v>
      </c>
      <c r="P214" s="36"/>
      <c r="R214" s="58"/>
    </row>
    <row r="215" spans="1:18" x14ac:dyDescent="0.25">
      <c r="A215" s="35"/>
      <c r="P215" s="36"/>
      <c r="R215" s="58"/>
    </row>
    <row r="216" spans="1:18" x14ac:dyDescent="0.25">
      <c r="A216" s="35"/>
      <c r="P216" s="36"/>
      <c r="R216" s="58"/>
    </row>
    <row r="217" spans="1:18" x14ac:dyDescent="0.25">
      <c r="A217" s="35"/>
      <c r="P217" s="36"/>
      <c r="R217" s="58"/>
    </row>
    <row r="218" spans="1:18" x14ac:dyDescent="0.25">
      <c r="A218" s="35"/>
      <c r="P218" s="36"/>
      <c r="R218" s="58"/>
    </row>
    <row r="219" spans="1:18" x14ac:dyDescent="0.25">
      <c r="A219" s="35"/>
      <c r="P219" s="36"/>
      <c r="R219" s="58"/>
    </row>
    <row r="220" spans="1:18" x14ac:dyDescent="0.25">
      <c r="A220" s="35"/>
      <c r="P220" s="36"/>
      <c r="R220" s="58"/>
    </row>
    <row r="221" spans="1:18" x14ac:dyDescent="0.25">
      <c r="A221" s="35"/>
      <c r="P221" s="36"/>
      <c r="R221" s="58"/>
    </row>
    <row r="222" spans="1:18" x14ac:dyDescent="0.25">
      <c r="A222" s="35"/>
      <c r="P222" s="36"/>
      <c r="R222" s="58"/>
    </row>
    <row r="223" spans="1:18" x14ac:dyDescent="0.25">
      <c r="A223" s="35"/>
      <c r="P223" s="36"/>
      <c r="R223" s="58"/>
    </row>
    <row r="224" spans="1:18" x14ac:dyDescent="0.25">
      <c r="A224" s="35"/>
      <c r="P224" s="36"/>
      <c r="R224" s="58"/>
    </row>
    <row r="225" spans="1:18" x14ac:dyDescent="0.25">
      <c r="A225" s="35"/>
      <c r="P225" s="36"/>
      <c r="R225" s="58"/>
    </row>
    <row r="226" spans="1:18" x14ac:dyDescent="0.25">
      <c r="A226" s="35"/>
      <c r="P226" s="36"/>
      <c r="R226" s="58"/>
    </row>
    <row r="227" spans="1:18" x14ac:dyDescent="0.25">
      <c r="A227" s="35"/>
      <c r="P227" s="36"/>
      <c r="R227" s="58"/>
    </row>
    <row r="228" spans="1:18" x14ac:dyDescent="0.25">
      <c r="A228" s="35"/>
      <c r="P228" s="36"/>
      <c r="R228" s="58"/>
    </row>
    <row r="229" spans="1:18" x14ac:dyDescent="0.25">
      <c r="A229" s="35"/>
      <c r="P229" s="36"/>
      <c r="R229" s="58"/>
    </row>
    <row r="230" spans="1:18" x14ac:dyDescent="0.25">
      <c r="A230" s="35"/>
      <c r="P230" s="36"/>
      <c r="R230" s="58"/>
    </row>
    <row r="231" spans="1:18" x14ac:dyDescent="0.25">
      <c r="A231" s="35"/>
      <c r="P231" s="36"/>
      <c r="R231" s="58"/>
    </row>
    <row r="232" spans="1:18" x14ac:dyDescent="0.25">
      <c r="A232" s="35"/>
      <c r="P232" s="36"/>
      <c r="R232" s="58"/>
    </row>
    <row r="233" spans="1:18" x14ac:dyDescent="0.25">
      <c r="A233" s="35"/>
      <c r="P233" s="36"/>
      <c r="R233" s="58"/>
    </row>
    <row r="234" spans="1:18" x14ac:dyDescent="0.25">
      <c r="A234" s="35"/>
      <c r="P234" s="36"/>
      <c r="R234" s="58"/>
    </row>
    <row r="235" spans="1:18" x14ac:dyDescent="0.25">
      <c r="A235" s="35"/>
      <c r="P235" s="36"/>
      <c r="R235" s="58"/>
    </row>
    <row r="236" spans="1:18" x14ac:dyDescent="0.25">
      <c r="A236" s="35"/>
      <c r="P236" s="36"/>
      <c r="R236" s="58"/>
    </row>
    <row r="237" spans="1:18" x14ac:dyDescent="0.25">
      <c r="A237" s="35"/>
      <c r="P237" s="36"/>
      <c r="R237" s="58"/>
    </row>
    <row r="238" spans="1:18" ht="15.75" thickBot="1" x14ac:dyDescent="0.3">
      <c r="A238" s="37"/>
      <c r="B238" s="38"/>
      <c r="C238" s="38"/>
      <c r="D238" s="38"/>
      <c r="E238" s="38"/>
      <c r="F238" s="38"/>
      <c r="G238" s="38"/>
      <c r="H238" s="38"/>
      <c r="I238" s="38"/>
      <c r="J238" s="38"/>
      <c r="K238" s="38"/>
      <c r="L238" s="38"/>
      <c r="M238" s="38"/>
      <c r="N238" s="38"/>
      <c r="O238" s="38"/>
      <c r="P238" s="39"/>
      <c r="R238" s="58"/>
    </row>
    <row r="239" spans="1:18" x14ac:dyDescent="0.25">
      <c r="R239" s="58"/>
    </row>
    <row r="240" spans="1:18" s="42" customFormat="1" x14ac:dyDescent="0.25">
      <c r="R240" s="58"/>
    </row>
    <row r="241" spans="1:1" x14ac:dyDescent="0.25">
      <c r="A241" s="17" t="s">
        <v>387</v>
      </c>
    </row>
  </sheetData>
  <mergeCells count="1">
    <mergeCell ref="R1:R1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6D57-B3A8-4251-BD54-DF907BF14045}">
  <dimension ref="A1:R68"/>
  <sheetViews>
    <sheetView workbookViewId="0">
      <selection activeCell="H26" sqref="H26"/>
    </sheetView>
  </sheetViews>
  <sheetFormatPr defaultRowHeight="15" x14ac:dyDescent="0.25"/>
  <cols>
    <col min="2" max="2" width="17.28515625" bestFit="1" customWidth="1"/>
    <col min="4" max="4" width="10.42578125" bestFit="1" customWidth="1"/>
    <col min="7" max="7" width="8.7109375" bestFit="1" customWidth="1"/>
    <col min="12" max="12" width="13.85546875" bestFit="1" customWidth="1"/>
    <col min="16" max="16" width="13.85546875" bestFit="1" customWidth="1"/>
  </cols>
  <sheetData>
    <row r="1" spans="1:18" x14ac:dyDescent="0.25">
      <c r="A1" s="23" t="s">
        <v>45</v>
      </c>
    </row>
    <row r="6" spans="1:18" x14ac:dyDescent="0.25">
      <c r="A6" s="12" t="s">
        <v>444</v>
      </c>
      <c r="Q6" s="7">
        <v>10</v>
      </c>
      <c r="R6" s="8">
        <f>GRADING!C22</f>
        <v>0.03</v>
      </c>
    </row>
    <row r="7" spans="1:18" x14ac:dyDescent="0.25">
      <c r="A7" s="2" t="s">
        <v>44</v>
      </c>
    </row>
    <row r="22" spans="1:18" x14ac:dyDescent="0.25">
      <c r="A22" s="12" t="s">
        <v>445</v>
      </c>
      <c r="Q22" s="7">
        <v>10</v>
      </c>
      <c r="R22" s="8">
        <f>GRADING!C24</f>
        <v>0.03</v>
      </c>
    </row>
    <row r="23" spans="1:18" x14ac:dyDescent="0.25">
      <c r="A23" s="2" t="s">
        <v>44</v>
      </c>
    </row>
    <row r="37" spans="1:18" x14ac:dyDescent="0.25">
      <c r="A37" s="12" t="s">
        <v>446</v>
      </c>
      <c r="Q37" s="7">
        <v>10</v>
      </c>
      <c r="R37" s="8" t="s">
        <v>486</v>
      </c>
    </row>
    <row r="38" spans="1:18" x14ac:dyDescent="0.25">
      <c r="A38" s="2" t="s">
        <v>44</v>
      </c>
    </row>
    <row r="52" spans="1:18" x14ac:dyDescent="0.25">
      <c r="A52" s="12" t="s">
        <v>481</v>
      </c>
      <c r="Q52" s="7">
        <v>10</v>
      </c>
      <c r="R52" s="8">
        <f>GRADING!C25</f>
        <v>0.03</v>
      </c>
    </row>
    <row r="53" spans="1:18" x14ac:dyDescent="0.25">
      <c r="A53" s="65" t="s">
        <v>447</v>
      </c>
    </row>
    <row r="67" spans="1:18" x14ac:dyDescent="0.25">
      <c r="A67" s="12" t="s">
        <v>482</v>
      </c>
      <c r="Q67" s="63">
        <v>10</v>
      </c>
      <c r="R67" s="64">
        <f>GRADING!C26</f>
        <v>0.03</v>
      </c>
    </row>
    <row r="68" spans="1:18" x14ac:dyDescent="0.25">
      <c r="A68" s="65" t="s">
        <v>483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DB828-27AF-4E5A-998F-BC6F48D23E62}">
  <sheetPr>
    <pageSetUpPr fitToPage="1"/>
  </sheetPr>
  <dimension ref="A1:B37"/>
  <sheetViews>
    <sheetView tabSelected="1" topLeftCell="A26" workbookViewId="0">
      <selection activeCell="A29" sqref="A29"/>
    </sheetView>
  </sheetViews>
  <sheetFormatPr defaultRowHeight="15" x14ac:dyDescent="0.25"/>
  <cols>
    <col min="1" max="1" width="17.140625" customWidth="1"/>
    <col min="2" max="2" width="118.140625" customWidth="1"/>
  </cols>
  <sheetData>
    <row r="1" spans="1:2" ht="30" customHeight="1" x14ac:dyDescent="0.25">
      <c r="A1" s="95" t="s">
        <v>496</v>
      </c>
      <c r="B1" s="96"/>
    </row>
    <row r="2" spans="1:2" ht="75" x14ac:dyDescent="0.25">
      <c r="A2" s="97" t="s">
        <v>497</v>
      </c>
      <c r="B2" s="96"/>
    </row>
    <row r="3" spans="1:2" x14ac:dyDescent="0.25">
      <c r="A3" s="96"/>
      <c r="B3" s="96"/>
    </row>
    <row r="4" spans="1:2" ht="21.95" customHeight="1" x14ac:dyDescent="0.25">
      <c r="A4" s="98" t="s">
        <v>498</v>
      </c>
      <c r="B4" s="96"/>
    </row>
    <row r="5" spans="1:2" x14ac:dyDescent="0.25">
      <c r="A5" s="96"/>
      <c r="B5" s="96"/>
    </row>
    <row r="6" spans="1:2" ht="30" x14ac:dyDescent="0.25">
      <c r="A6" s="99" t="s">
        <v>499</v>
      </c>
      <c r="B6" s="96" t="s">
        <v>500</v>
      </c>
    </row>
    <row r="7" spans="1:2" ht="30" x14ac:dyDescent="0.25">
      <c r="A7" s="99" t="s">
        <v>501</v>
      </c>
      <c r="B7" s="96" t="s">
        <v>502</v>
      </c>
    </row>
    <row r="8" spans="1:2" x14ac:dyDescent="0.25">
      <c r="A8" s="99" t="s">
        <v>503</v>
      </c>
      <c r="B8" s="96" t="s">
        <v>504</v>
      </c>
    </row>
    <row r="9" spans="1:2" x14ac:dyDescent="0.25">
      <c r="A9" s="99" t="s">
        <v>505</v>
      </c>
      <c r="B9" s="96" t="s">
        <v>506</v>
      </c>
    </row>
    <row r="10" spans="1:2" ht="30" x14ac:dyDescent="0.25">
      <c r="A10" s="99" t="s">
        <v>507</v>
      </c>
      <c r="B10" s="96" t="s">
        <v>508</v>
      </c>
    </row>
    <row r="11" spans="1:2" ht="30" x14ac:dyDescent="0.25">
      <c r="A11" s="99" t="s">
        <v>509</v>
      </c>
      <c r="B11" s="96" t="s">
        <v>510</v>
      </c>
    </row>
    <row r="12" spans="1:2" ht="30" x14ac:dyDescent="0.25">
      <c r="A12" s="99" t="s">
        <v>511</v>
      </c>
      <c r="B12" s="96" t="s">
        <v>512</v>
      </c>
    </row>
    <row r="13" spans="1:2" ht="30" x14ac:dyDescent="0.25">
      <c r="A13" s="99" t="s">
        <v>513</v>
      </c>
      <c r="B13" s="96" t="s">
        <v>514</v>
      </c>
    </row>
    <row r="14" spans="1:2" ht="30" x14ac:dyDescent="0.25">
      <c r="A14" s="99" t="s">
        <v>515</v>
      </c>
      <c r="B14" s="96" t="s">
        <v>516</v>
      </c>
    </row>
    <row r="15" spans="1:2" ht="45" x14ac:dyDescent="0.25">
      <c r="A15" s="99" t="s">
        <v>517</v>
      </c>
      <c r="B15" s="96" t="s">
        <v>518</v>
      </c>
    </row>
    <row r="16" spans="1:2" x14ac:dyDescent="0.25">
      <c r="A16" s="96"/>
      <c r="B16" s="96"/>
    </row>
    <row r="17" spans="1:2" ht="21.95" customHeight="1" x14ac:dyDescent="0.25">
      <c r="A17" s="98" t="s">
        <v>519</v>
      </c>
      <c r="B17" s="96"/>
    </row>
    <row r="18" spans="1:2" ht="120" x14ac:dyDescent="0.25">
      <c r="A18" s="99" t="s">
        <v>520</v>
      </c>
      <c r="B18" s="96"/>
    </row>
    <row r="19" spans="1:2" x14ac:dyDescent="0.25">
      <c r="A19" s="96"/>
      <c r="B19" s="96"/>
    </row>
    <row r="20" spans="1:2" ht="285" x14ac:dyDescent="0.25">
      <c r="A20" s="99" t="s">
        <v>521</v>
      </c>
      <c r="B20" s="96" t="s">
        <v>522</v>
      </c>
    </row>
    <row r="21" spans="1:2" x14ac:dyDescent="0.25">
      <c r="A21" s="96"/>
      <c r="B21" s="96"/>
    </row>
    <row r="22" spans="1:2" ht="165" x14ac:dyDescent="0.25">
      <c r="A22" s="99" t="s">
        <v>523</v>
      </c>
      <c r="B22" s="96" t="s">
        <v>524</v>
      </c>
    </row>
    <row r="23" spans="1:2" ht="135" x14ac:dyDescent="0.25">
      <c r="A23" s="99" t="s">
        <v>525</v>
      </c>
      <c r="B23" s="96" t="s">
        <v>526</v>
      </c>
    </row>
    <row r="24" spans="1:2" ht="195" x14ac:dyDescent="0.25">
      <c r="A24" s="99" t="s">
        <v>527</v>
      </c>
      <c r="B24" s="96" t="s">
        <v>528</v>
      </c>
    </row>
    <row r="25" spans="1:2" ht="180" x14ac:dyDescent="0.25">
      <c r="A25" s="99" t="s">
        <v>529</v>
      </c>
      <c r="B25" s="96" t="s">
        <v>530</v>
      </c>
    </row>
    <row r="26" spans="1:2" ht="225" x14ac:dyDescent="0.25">
      <c r="A26" s="99" t="s">
        <v>531</v>
      </c>
      <c r="B26" s="96" t="s">
        <v>532</v>
      </c>
    </row>
    <row r="27" spans="1:2" x14ac:dyDescent="0.25">
      <c r="A27" s="96"/>
      <c r="B27" s="96"/>
    </row>
    <row r="28" spans="1:2" ht="21.95" customHeight="1" x14ac:dyDescent="0.25">
      <c r="A28" s="98" t="s">
        <v>533</v>
      </c>
      <c r="B28" s="96"/>
    </row>
    <row r="29" spans="1:2" ht="105" x14ac:dyDescent="0.25">
      <c r="A29" s="99" t="s">
        <v>534</v>
      </c>
      <c r="B29" s="96"/>
    </row>
    <row r="30" spans="1:2" x14ac:dyDescent="0.25">
      <c r="A30" s="96"/>
      <c r="B30" s="96"/>
    </row>
    <row r="31" spans="1:2" x14ac:dyDescent="0.25">
      <c r="A31" s="99" t="s">
        <v>535</v>
      </c>
      <c r="B31" s="96" t="s">
        <v>536</v>
      </c>
    </row>
    <row r="32" spans="1:2" x14ac:dyDescent="0.25">
      <c r="A32" s="99" t="s">
        <v>537</v>
      </c>
      <c r="B32" s="96" t="s">
        <v>538</v>
      </c>
    </row>
    <row r="33" spans="1:2" ht="30" x14ac:dyDescent="0.25">
      <c r="A33" s="99" t="s">
        <v>539</v>
      </c>
      <c r="B33" s="96" t="s">
        <v>540</v>
      </c>
    </row>
    <row r="34" spans="1:2" ht="30" x14ac:dyDescent="0.25">
      <c r="A34" s="99" t="s">
        <v>541</v>
      </c>
      <c r="B34" s="96" t="s">
        <v>542</v>
      </c>
    </row>
    <row r="35" spans="1:2" ht="45" x14ac:dyDescent="0.25">
      <c r="A35" s="99" t="s">
        <v>543</v>
      </c>
      <c r="B35" s="96" t="s">
        <v>544</v>
      </c>
    </row>
    <row r="36" spans="1:2" x14ac:dyDescent="0.25">
      <c r="A36" s="96"/>
      <c r="B36" s="96"/>
    </row>
    <row r="37" spans="1:2" x14ac:dyDescent="0.25">
      <c r="A37" s="100" t="s">
        <v>545</v>
      </c>
      <c r="B37" s="96"/>
    </row>
  </sheetData>
  <pageMargins left="0.5" right="0.5" top="0.5" bottom="0.5" header="0.25" footer="0.25"/>
  <pageSetup paperSize="9" fitToHeight="0" orientation="portrait" r:id="rId1"/>
  <headerFooter>
    <oddHeader>&amp;C&amp;"Aptos Narrow"&amp;14&amp;BFINAL EXAM - All Questions</oddHeader>
    <oddFooter>&amp;RPage &amp;P of &amp;N</oddFooter>
  </headerFooter>
</worksheet>
</file>

<file path=docMetadata/LabelInfo.xml><?xml version="1.0" encoding="utf-8"?>
<clbl:labelList xmlns:clbl="http://schemas.microsoft.com/office/2020/mipLabelMetadata">
  <clbl:label id="{5818c103-b4ff-4ab6-8c05-dc2fb6993bc0}" enabled="0" method="" siteId="{5818c103-b4ff-4ab6-8c05-dc2fb6993b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GRADING</vt:lpstr>
      <vt:lpstr>section 1 ( 1 to 9)</vt:lpstr>
      <vt:lpstr>section 2_DATA</vt:lpstr>
      <vt:lpstr>sect 2 quesion 10</vt:lpstr>
      <vt:lpstr>section 2_ quesitons 11 to 15</vt:lpstr>
      <vt:lpstr>section 3 SQL  16 A 20</vt:lpstr>
      <vt:lpstr>PRINT - All Questions</vt:lpstr>
      <vt:lpstr>'PRINT - All Questions'!Print_Area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César Alfonso Moreno Pascual</dc:creator>
  <cp:lastModifiedBy>César Alfonso Moreno Pascual</cp:lastModifiedBy>
  <cp:lastPrinted>2026-05-02T18:56:04Z</cp:lastPrinted>
  <dcterms:created xsi:type="dcterms:W3CDTF">2024-12-06T19:29:16Z</dcterms:created>
  <dcterms:modified xsi:type="dcterms:W3CDTF">2026-05-02T19:06:26Z</dcterms:modified>
</cp:coreProperties>
</file>